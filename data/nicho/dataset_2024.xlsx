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lha1" sheetId="1" r:id="rId5"/>
  </sheets>
  <definedNames/>
  <calcPr/>
</workbook>
</file>

<file path=xl/sharedStrings.xml><?xml version="1.0" encoding="utf-8"?>
<sst xmlns="http://schemas.openxmlformats.org/spreadsheetml/2006/main" count="96" uniqueCount="93">
  <si>
    <t>texto_bruto</t>
  </si>
  <si>
    <t>x</t>
  </si>
  <si>
    <t>y</t>
  </si>
  <si>
    <t>Registro de Preço para aquisição, de forma futura e parcelada,
de hidrômetros e macromedidores, destinados a Ampliação e
Manutenção do Sistema de Abastecimento de Água, para atender as
necessidades desta Autarquia Municipal, conforme condições,
especificações e quantitativos indicados no Termo de Referência.</t>
  </si>
  <si>
    <t>REGISTRO DE PREÇOS PARA AQUISIÇÃO DE MEDIDOR DE VAZÃO E
EQUIPAMENTOS ANALÍTICOS PORTÁTEIS</t>
  </si>
  <si>
    <t xml:space="preserve">Aquisição de macromedidores eletromagnéticos (tubo sensor flangeado e
conversor de sinais), com fluxo bidirecional, especificados conforme requisitos técnicos,
condições e exigências para o fornecimento e utilização em água tratada no sistema de
abastecimento de água do SAAE da Estância Turística de Barretos - SP.
</t>
  </si>
  <si>
    <t>AQUISIÇÃO DE MEDIDORES DE VAZÃO PARA ESTAÇÃO DE TRATAMENTO DE ESGOTO (ETE) EM CALHA PARSHAL OU VERTEDOURO, EM GUARATINGUETÁ/SP.</t>
  </si>
  <si>
    <t>REGISTRO DE PREÇOS PARA AQUISIÇÃO DE MEDIDORES DE VAZÃO</t>
  </si>
  <si>
    <t>Aquisição de 02 (dois) medidores de vazão ultrassônico portáteis recarregáveis com transdutores para
tubulações médias, de DN50 mm a DN700 mm, conforme disposto no Anexo I – Termo de Referência
deste Edital</t>
  </si>
  <si>
    <t>AQUISIÇÃO DE MEDIDORES DE VAZÃO ELETROMAGNÉTICOS DE TUBO, COM
SEUS DEVIDOS CONVERSORES ELETRÔNICOS DE VAZÃO, ACOMPANHADOS
DE CERTIFICADO DE CALIBRAÇÃO E AFERIÇÃO, CONFORME TERMO DE
REFERÊNCIA – ANEXO I, EM CAXIAS DO SUL – RS.</t>
  </si>
  <si>
    <t xml:space="preserve">Aquisição de Instrumentos para a Conclusão do sistema de expedição de
ácido sulfúrico da RNEST, conforme as especificações deste documento e de seus
adendos.
</t>
  </si>
  <si>
    <t>Aquisição de Transmissor de vazão, conforme as especificações deste
documento e de seus adendos.</t>
  </si>
  <si>
    <t xml:space="preserve">O objeto da presente licitação é a escolha da proposta mais vantajosa para a aquisição de medidores de vazão, para atender as demandas dos Projetos da Diretoria de Produtos, prioritariamente para o Projeto SIPAMHidro, do Centro Gestor e Operacional do Sistema de Proteção da Amazônia - CENSIPAM, conforme
condições, quantidades e exigências estabelecidas neste Edital e seus anexos.
</t>
  </si>
  <si>
    <t>O objeto da presente licitação consiste na PRESTAÇÃO DE SERVIÇO DE
INSPEÇÃO E CALIBRAÇÃO EM VASOS DE PRESSÃO CONFORME NR-13, em
conformidade com o disposto nos Anexos a seguir relacionados, que são partes
integrantes deste Edital.</t>
  </si>
  <si>
    <t>Aquisição de Transmissor de Nível por contrato global, conforme as
especificações deste documento e de seus adendos.</t>
  </si>
  <si>
    <t>A presente licitação tem por objeto a aquisição de medidor de nível
ultrassônico, por solicitação da Diretoria Operacional de Infraestrutura e
Logística.</t>
  </si>
  <si>
    <t>AQUISIÇÃO DE ACESSÓRIOS PARA EQUIPAMENTOS ELÉTRICOS E
ELETRÔNICOS E DE CONTROLE E MEDIÇÃO</t>
  </si>
  <si>
    <t>Contratação de empresa especializada para fornecimento e instalação de conversores a bateria para medidores de vazão</t>
  </si>
  <si>
    <t>AQUISIÇÃO DE EQUIPAMENTOS: MEDIDOR DE VAZÃO ELETROMAGNÉTICO,
PARA APLICAÇÃO NAS OBRAS DO S.A.A. NO
MUNICÍPIO DE FRANCA (SAPUCAÍ - MIRIM), NO ÂMBITO DA
COORDENADORIA DE PROJETOS REGIONAIS NORTE - TIP E DA
UNIDADE DE NEGÓCIOS PARDO E GRANDE - RG.</t>
  </si>
  <si>
    <t>O objeto da presente licitação consiste no FORNECIMENTO DE
TRANSMISSOR DE PRESSÃO E VAZÃO COM MODEM E REGISTRADOR DE
DADOS INTEGRADO – GPRS, de acordo com as especificações e obrigações
constantes dos Anexos a seguir relacionados que são partes integrantes deste
Edital e bem como as demais condições deste instrumento convocatório.</t>
  </si>
  <si>
    <t xml:space="preserve">AQUISIÇÃO DE 105 (CENTO E CINCO) SENSORES DE NÍVEL DO TIPO RADAR E DE
105 (CENTO E CINCO) CONTROLADORES COM INDICAÇÃO DE NÍVEL PARA
UTILIZAÇÃO EM ESTAÇÕES DE TRATAMENTO DE ESGOTO NAS ÁREAS DAS
UNIDADES DE NEGÓCIO DO INTERIOR
</t>
  </si>
  <si>
    <t>Aquisição de medidores de vazão eletromagnéticos para
esgoto com protocolo Profibus DP</t>
  </si>
  <si>
    <t>Aquisição de Transmissor de pressão, conforme as especificações deste
documento e de seus adendos.</t>
  </si>
  <si>
    <t>O presente Pregão Eletrônico tem por objeto a aquisição de medidores de vazão tipos
rotativo e diafragma, conforme condições e especificações técnicas constantes neste Edital e
seus Anexos.</t>
  </si>
  <si>
    <t>AQUISIÇÃO DE MATERIAIS ELÉTRICO E ELETRÔNICOS
ESTOCÁVEIS PARA SEÇÃO DE MANUTENÇÃO ELÉTRICA E
AUTOMAÇÃO, CONFORME CONDIÇÕES E ESPECIFICAÇÕES
DO TERMO DE REFERÊNCIA – ANEXO I</t>
  </si>
  <si>
    <t xml:space="preserve"> Constitui objeto da presente licitação: “A aquisição dos medidores de vazão para controle do
consumo de água no município de bocaiuva, especificamente em poços na zona rural
especificamente para os poços de Camilo Prates e sentinela, além de macromedição dos carregadores
de pipas” , conforme especificações constantes no Termo de Referência anexo a este edital.</t>
  </si>
  <si>
    <t>AQUISIÇÃO DE TRANSMISSORES DE PRESSÃO</t>
  </si>
  <si>
    <t>O objeto do presente procedimento é a escolha da proposta mais vantajosa para a contratação, por dispensa de
licitação, de  SERVIÇO DE AFERIÇÃO E OU CALIBRAÇÃO, conforme condições, quantidades e exigências
estabelecidas neste Aviso de Contratação Direta e seus anexos</t>
  </si>
  <si>
    <t xml:space="preserve">O objeto do presente chamamento público é a contratação de pessoa jurídica especializada para
o fornecimento de equipamentos de instrumentação para atender os laboratórios dos cursos
técnicos de automação do SENAI PE, visando atender as necessidades do SENAI/PE, de acordo
com as condições, quantidades e especificações técnicas descritas no Anexo I deste instrumento
– Termo de Referência.
</t>
  </si>
  <si>
    <t>Registro de Preço para a futura e eventual contratação de empresa especializada para fornecimento de materiais e produtos químicos para atender o departamento de água e esgoto da Estação de Tratamento de Água - ETA.</t>
  </si>
  <si>
    <t xml:space="preserve">AQUISIÇÃO DE CALHA PARSHALL PARA INSTALAÇÃO NO SISTEMA INTEGRADO DE
ABASTECIMENTO DE ÁGUA (SIAA) DE FEIRA DE SANTANA 3ª ETAPA.
</t>
  </si>
  <si>
    <t>REGISTRO DE PREÇOS PARA AQUISIÇÃO DE MATERIAIS ELÉTRICOS E EQUIPAMENTOS
ELETRÔNICOS</t>
  </si>
  <si>
    <t xml:space="preserve">Aquisição de medidores de vazão ultrassônicos e
eletromagnéticos, na forma do Sistema de Registro de
Preços – SRP.
</t>
  </si>
  <si>
    <t>Fornecimento de medidores de vazão ultrassônicos tipo clamp on tempo de
trânsito para água bruta, para medição em tubulação de ferro fundido, para uso na
captação de água do Rio Atibaia e na captação Santana do Cuiabano, conforme as
especificações do Anexo II Termo de Referência.</t>
  </si>
  <si>
    <t>Contratação de empresa para aquisição de com aquisição de equipamentos de
bombeamento, tubulações, peças e conexões hidráulicas,melhor especificado no ANEXO I</t>
  </si>
  <si>
    <t>AQUISIÇÃO DE EQUIPAMENTOS DIVERSOS PARA ATENDER AS NECESSIDADES DO IF SUDESTE MG</t>
  </si>
  <si>
    <t xml:space="preserve">A presente licitação tem por objeto a aquisição de macromedidores de vazão eletromagnéticos para o
controle de perdas nos Sistemas de Captação e Reservação de Água no município de Votuporanga/SP.
</t>
  </si>
  <si>
    <t>A presente licitação tem por objeto a Aquisição de Medidor de Vazão Eletromagnético, microprocessado, com conversor eletrônico de sinal, caracterizados a seguir nas Disposições Técnicas Específicas; em conformidade com o ANEXO I – TERMO DE REFERÊNCIA.</t>
  </si>
  <si>
    <t xml:space="preserve">AQUISIÇÃO DE MATERIAIS PARA MANUTENÇÕES
INDUSTRIAIS, CONFORME TERMO DE REFERÊNCIA - ANEXO I. </t>
  </si>
  <si>
    <t xml:space="preserve">Aquisição de Macro Medidor conforme descrição abaixo: Medidor de vazão eletromagnético, DN 150,
para uma vazão de 100 metros cúbicos por
hora, pressão mínima de 100 m.c.a, com as
flanges de 6”, inclusive parafusos
galvanizados, transmissor local, display lcd,
saída de sinal digital.
</t>
  </si>
  <si>
    <t xml:space="preserve">Aquisição, montagem, instalação, comissionamento e
testes funcionais de 01 (um) Medidor de vazão ultrassônico
não intrusivo do tipo clamp on e 02 (dois) conversores de
4-20 mA para Profibus DP, ou comunicação Profibus DP
inclusa na própria eletrônica do conversor, e aquisição de
03 (três) medidores de vazão eletromagnético do tipo
carretel para água bruta, sendo 02 (dois) DN 800 e 01 (um)
DN 1000.
</t>
  </si>
  <si>
    <t>O objeto do presente Pregão CEDAE trata de "FORNECIMENTO E INSTALAÇÃO DE CINCO MEDIDORES ULTRASSÔNICOS DO TIPO CLAMP ON PARA MEDIÇÃO DE ÁGUA BRUTA NA ETA GUANDU"</t>
  </si>
  <si>
    <t>Fornecimento e instalação completa, incluindo startup, de 13 (treze) medidores de vazão
eletromagnéticos de carretel nas unidades produtoras ETA´s I, II, III e IV, do Sistema de
Abastecimento de Água de Blumenau.</t>
  </si>
  <si>
    <t>Registro de Preços para FUTURA e EVENTUAL aquisição de materiais elétricos e correlatos,
visando atender às necessidades da Superintendência Municipal de Água e Esgoto – SAE, para o
período de 12 (doze) meses, conforme condições, quantidades e exigências estabelecidas neste
instrumento</t>
  </si>
  <si>
    <t>O objeto desta licitação é aquisição de mostradores secundários avulsos para
medidores de vazão eletromagnéticos de carretel, conforme condições, quantidades e
exigências estabelecidas neste Edital e no Termo de Referência (Ordem de Licitação nº
11813/2024 – DA)</t>
  </si>
  <si>
    <t>Constitui objeto do presente edital a Pregão Eletrônico com Registro Preços
futura e eventual contratação de empresa especializada no fornecimento de
materiais hidráulicos e equipamentos para saneamento, bem como, medidores
de vazão (calha parshall, hidrômetros woltmann e hidrômetros multijato) Serviço
Autônomo de Água e Esgoto – SAAE de Lucas do Rio Verde/MT</t>
  </si>
  <si>
    <t>O objeto desta licitação consiste na CONTRATAÇÃO DE INSTALAÇÃO DE MACROMEDIDORES COM FORNECIMENTO
DE MATERIAIS NO SAA CHAPECÓ de acordo com as especificações contidas nos ANEXO I (MODELO DE PROPOSTA
DETALHADA) e ANEXO II (PROJETO BÁSICO) deste Edital e REGULAMENTAÇÃO DE PREÇOS E CRITÉRIOS DE MEDIÇÃO
disponível no site da CASAN</t>
  </si>
  <si>
    <t>O objeto da presente licitação é o REGISTRO DE PREÇOS PARA O FORNECIMENTO
PARCELADO DE MEDIDORES DE VAZÃO ULTRASSÔNICO, conforme condições, quantidades e
exigências estabelecidas no Termo de Referência, Anexo I deste edital</t>
  </si>
  <si>
    <t>Registro de Preços para aquisição de Reagentes e Equipamentos Laboratoriais para análise de água bruta
e tratada aos entes consorciados do CISAM-SUL, com entrega nas respectivas sedes, podendo ou não atingir
a totalidade licitada, conforme as especificações, quantitativos e condições estabelecidas nos anexos e nas
condições previstas neste Edital</t>
  </si>
  <si>
    <t>Registro de Preços pelo prazo de 12 (doze) meses para aquisições futuras de Sensores automáticos de medição do nível
d'agua e pressão atmosférica (item 1) e de Sensores automáticos de medição do nível d'agua, condutividade elétrica e pressão
atmosférica (item 2), para atender as necessidades da Companhia de Pesquisa de Recursos Minerais - CPRM, conforme as
especificações constantes no Termo de Referência – Anexo I, deste Edital</t>
  </si>
  <si>
    <t>O objeto desta licitação consiste na AQUISIÇÃO DE TRANSMISSORES DE NÍVEL PARA UTILIZAÇÃO
NAS ESTAÇÕES DE TRATAMENTO DE ESGOTO DA SUPERINTENDÊNCIA REGIONAL DE
NEGÓCIOS DA REGIÃO METROPOLITANA DA GRANDE FLORIANÓPOLIS (SRM), de acordo com as
especificações contidas nos ANEXO I (MODELO DE PROPOSTA DETALHADA) e ANEXO II (TERMO DE
REFERÊNCIA) deste Edital</t>
  </si>
  <si>
    <t>O presente aviso tem por objeto a manutenção corretiva, com substituição de peças,
de inversores de frequência marca Weg, conversores Modbus RTU marca Siemens e
conserto de medidor de vazão/conversor marca Siemens, conforme especificações
constantes no Termo de Referência.</t>
  </si>
  <si>
    <t xml:space="preserve">A presente licitação tem por objeto a escolha da proposta mais vantajosa para aquisição de
macromedidores de vazão eletromagnéticos para o controle de perdas nos Sistemas de Captação e
Reservação de Água no município de Votuporanga/SP, nos termos da tabela abaixo, conforme condições
e exigências estabelecidas neste instrumento e seus anexos, Termo de Referência, Estudo Técnico
Preliminar.
</t>
  </si>
  <si>
    <t>4.1. O objeto da licitação é Registro de Preço para futuras e eventuais aquisições de SENSORES
DE NÍVEL, nas condições estabelecidas neste edital e seus anexos.</t>
  </si>
  <si>
    <t xml:space="preserve"> AQUISIÇÃO DE TRANSMISSORES DE NÍVEL HIDROSTÁTICOS.</t>
  </si>
  <si>
    <t xml:space="preserve">O presente Pregão Eletrônico tem por objeto, o registro de preços para aquisição
de medidor de vazão eletromagnético para atender a demanda do setor de abastecimento
de água do Município de Canelinha, conforme especificações e quantidades descritas nos
anexos do Edital.
</t>
  </si>
  <si>
    <t>AQUISIÇÃO DE 25 IHM 7" - SUPERINTENDÊNCIA DE PRODUÇÃO DE ÁGUA - OA</t>
  </si>
  <si>
    <t xml:space="preserve">AQUISIÇÃO DE INTERFACE HOMEM MÁQUINA PARA SEREM UTILIZADOS NAS
DIVERSAS UNIDADES OPERACIONAIS DA CESAN.
</t>
  </si>
  <si>
    <t xml:space="preserve">Sensor e conversor para medidor de vazão, conforme as especificações deste Edital e de seus adendos. </t>
  </si>
  <si>
    <t>O objeto da presente licitação consiste na aquisição de SENSORES INDUTIVOS
(PARTNUMBER) E ELETRODUTOS 1.1/2”, em conformidade com o disposto nos
Anexos a seguir relacionados, que são partes integrantes deste Edital.</t>
  </si>
  <si>
    <t>O objeto da presente dispensa eletrônica é a Contratação de empresa para calibração
dos sensores de vazão de entrada e saída da ETE Laranja Azeda por uma empresa certificada,
com laudo a ser apresentado para a CETESB, de acordo com a exigência do PAEL, conforme
condições, quantidades e exigências estabelecidas neste Aviso de Dispensa Eletrônica e no
Anexo I (Termo de Referência)</t>
  </si>
  <si>
    <t xml:space="preserve"> A presente licitação tem como objeto a aquisição de medidores de vazão eletromagnéticos carretel sem
necessidade de trecho reto, de acordo com as especificações e quantidades descritas no Termo de Referência,
para monitoramento de volume captado/bombeado de água bruta para ETA, monitoramento de volume de
chegada e tratado pela ETA, volume distribuído para os reservatórios e monitoramento de volume de água/saída
dos reservatórios para as unidades de consumo do município em conformidade com o Anexo I – Termo de
Referência que integra este Edital.</t>
  </si>
  <si>
    <t>Aquisição de materiais e equipamentos para Estação de Tratamento de Esgoto do córrego
Bebedouro pelo Serviço Autônomo de Água e Esgotos de Bebedouro (SAAEB Ambiental), em
consonância com a planilha de preços onde resta listada a relação dos itens com suas
especificações</t>
  </si>
  <si>
    <t>FUTURA E EVENTUAL AQUISIÇÃO DE MATERIAIS HIDRÁULICOS DE FERRO
FUNDIDO E PVC, MATERIAIS ELÉTRICOS E EPI, nos termos da tabela abaixo, conforme
condições e exigências estabelecidas neste instrumento.</t>
  </si>
  <si>
    <t>AQUISIÇÃO DE MEDIDOR DE VAZÃO TIPO CALHA PARSHALL, PARA DIVERSAS ETES DA UNIDADE DE NEGÓCIO BAIXO
TIETÊ E GRANDE, DA DIRETORIA DE OPERAÇÃO E MANUTENÇÃO</t>
  </si>
  <si>
    <t>Aquisição de peças para manutenção de equipamentos de Macromedição.</t>
  </si>
  <si>
    <t xml:space="preserve">AQUISIÇÃO DE EQUIPAMENTOS E MÃO DE OBRA DE TELEMETRIA
</t>
  </si>
  <si>
    <t>O objeto desta licitação consiste na REGISTRO DE PREÇOS PARA AQUISIÇÃO EVENTUAL DE MACROMEDIDORES
ELETROMAGNÉTICOS, de acordo com as especificações contidas nos ANEXO I (MODELO DE PROPOSTA DETALHADA)
e ANEXO II (TERMO DE REFERÊNCIA) deste Edital</t>
  </si>
  <si>
    <t xml:space="preserve">Registro de preços para contratação de empresa especializada no serviço de
calibração de instrumentos de medição diversos para atender as
necessidades do CMASM
</t>
  </si>
  <si>
    <t xml:space="preserve">O objeto desta licitação é aquisição de transmissores de pressão, conforme
condições, quantidades e exigências estabelecidas neste Edital e no Termo de Referência
(Ordem de Licitação nº 11600/2024 – DA).
</t>
  </si>
  <si>
    <t xml:space="preserve">O presente edital tem como objeto aquisição de medidores de vazão conforme
especificações e quantitativos constantes do Anexo II deste Edital.
</t>
  </si>
  <si>
    <t xml:space="preserve">Aquisição de Materiais Hidráulicos a fim de executar a ampliação de meta física do convênio
n°1014 firmado entre a SSAAP e SINFRA-MT, nos termos, condições e exigências estabelecidas no
Termo de Referência. </t>
  </si>
  <si>
    <t>REGISTRO DE PREÇOS PARA AQUISIÇÃO DE MEDIDOR DE VAZÃO E EQUIPAMENTOS ANALÍTICOS PORTÁTEIS</t>
  </si>
  <si>
    <t>O objeto do presente procedimento é a escolha da proposta mais vantajosa para a contratação, por dispensa de licitação, de Medidor de Vazão, conforme condições, quantidades e exigências estabelecidas neste Aviso de Contratação Direta e seus anexos.</t>
  </si>
  <si>
    <t xml:space="preserve">Constitui o objeto do presente procedimento licitatório a AQUISIÇÃO DE MEDIDOR DE VAZÃO,
de acordo com as especificações, quantitativos e condições estabelecidas no Anexo I deste Edital.
</t>
  </si>
  <si>
    <t>O objeto desta licitação é aquisição de macromedidores diversos, conforme
condições, quantidades e exigências estabelecidas neste Edital e no Termo de Referência
(Ordem de Licitação nº 11514/2023 – DA).</t>
  </si>
  <si>
    <t>Aquisição de 2 Sensores de nível ultrassónico</t>
  </si>
  <si>
    <t xml:space="preserve">AQUISIÇÃO DE MEDIDORES DE VAZÃO ULTRASSONICOS.
</t>
  </si>
  <si>
    <t xml:space="preserve">AQUISIÇÃO DE MATERIAIS E EQUIPAMENTOS DIVERSOS,
DESTINADOS AS OBRAS DE AMPLIAÇÃO DO SISTEMA DE
ABASTECIMENTO DE ÁGUA QUE ATENDE AS CIDADES DE CERES E
RIALMA, NO ESTADO DE GOIÁS, SANEAMENTO DE GOIÁS S.A.
</t>
  </si>
  <si>
    <t xml:space="preserve">O objeto da licitação é a aquisição de material hidromecânico para construção da adutora
integrando o Sistema Adutor Acarape do Meio - RMF ao Polo Industrial Químico de Guaiuba
(Chemical Park), nas condições estabelecidas neste edital e seus anexos.
</t>
  </si>
  <si>
    <t>AQUISIÇÃO DE CONTROLADOR LOGICO PROGRAMÁVEL (CLP) E INTERFACE HOMEM MÁQUINA (IHM).</t>
  </si>
  <si>
    <t>O objeto da presente licitação é a prestação de serviços de calibração de
Equipamentos e Dispositivos de Inspeção, Medição e Ensaio para atender as
demandas da Casa da Moeda do Brasil, conforme condições, quantidades e
exigências estabelecidas neste Edital e seus anexos.</t>
  </si>
  <si>
    <t>O objeto desta licitação é a AQUISIÇÃO DE MATERIAIS PERMANENTES –
MEDIDORES DE VAZÃO ELETROMAGNÉTICO, decorrente da Solicitação de Compra
(SC) Nº 01355/2024, conforme condições, quantidades e exigências deste edital e anexos.</t>
  </si>
  <si>
    <t>O objeto da presente licitação é a Contratação de empresa para serviço de calibração dos
equipamentos de medição ETE Rio Preto, conforme condições, quantidades e exigências
estabelecidas no Termo de Referência, Anexo 2 deste edital.</t>
  </si>
  <si>
    <t>O presente pregão tem como objeto à aquisição de conversores
eletromagnéticos de vazão com sinal microprocessado compatíveis com os
macromedidores da marca Siemens, modelo MAG 6000, módulos de comunicação RS 485, cabos de controle e comunicação, bem como, transdutores de pressão,
para manutenção técnica e operacional das atividades do SIMAE de Capinzal e
Ouro/SC, de acordo com os valores e quantitativos, e demais condições definidos no
Termo de Referência (ANEXO I).</t>
  </si>
  <si>
    <t>CONTRATAÇÃO DE EMPRESA PARA A AQUISIÇÃO COMPARTILHADA DE
EQUIPAMENTOS PARA ABASTECIMENTO PELOS ENTES PÚBLICOS ESPECIFICADOS
NO TERMO DE REFERÊNCIA, EDITAL E DEMAIS ANEXOS, QUE INTEGRARÃO A ATA DE
REGISTRO DE PREÇOS</t>
  </si>
  <si>
    <t xml:space="preserve">CONTRATAÇÃO DE EMPRESA ESPECIALIZADA EM FORNECIMENTO E
INSTALAÇÃO DEFINITIVA DO MEDIDOR DE VAZÃO DE CHORUME
CALHA PARSHALL W=1 EM POLIESTER REFORÇADO COM FIBRA DE
VIDRO E RESINA ORTOFITALICA, DE ESTRUTURA REFORÇADA COM
ANCORAS PARA SER CHUMBADA AO CONCRETO
</t>
  </si>
  <si>
    <t>Aquisição de equipamentos médico-odontológicos, laboratoriais, hospitalares e aparelhos de
medição e orientação para os seguintes Centros da Universidade do Estado de Santa Catarina – UDESC:
Centro de Ciências Agroveterinárias – CAV, Centro de Educação Superior do Alto Vale do Itajaí – CEAVI,
Centro de Educação Superior do Oeste – CEO, Centro de Ciências Tecnológicas – CCT e Centro de
Educação do Planalto Norte – CEPLAN, conforme especificações constantes do Anexo I e II</t>
  </si>
  <si>
    <t>O objeto da presente licitação é a Aquisição de transmissores de pressão e sondas de
nível para reposição de estoque e que serão utilizadas nos reservatórios do SeMAE para
serviços de manutenção corretiva e obras de melhoria, conforme condições, quantidades e
exigências estabelecidas no Termo de Referência, Anexo 2 deste edital.</t>
  </si>
  <si>
    <t>Aquisição de material de consumo (Aquisição de tubos PEAD corrugado e calha Parshall), conforme especificação e condições
constantes deste Edital e seus Anexos</t>
  </si>
  <si>
    <t>AQUISIÇÃO DE MEDIDOR DE VAZÃO PARA SULFATO DE ALUMÍNIO</t>
  </si>
  <si>
    <t>Constitui o objeto do presente Pregão para Aquisição de MACROMEDIDORES ULTRASSÔNICOS
PORTATÉIS, para aplicação/instalação no âmbito das Gerências Regionais, com o intuito de atender as
necessidades da Companhia de Água e Esgotos da Paraíba - CAGEPA, conforme condições, quantidades e
exigências estabelecidas neste Edital, Termo de Referência e demais anexos.</t>
  </si>
  <si>
    <t>Aquisição de materiais e equipamentos para conclusão dos serviços de Construção da Barragem de Captação no Riacho Guararema e das Estações Elevatórias de Água Bruta EAB-1 e EAB-2.</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</si>
</sst>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readingOrder="0" shrinkToFit="0" vertical="center" wrapText="1"/>
    </xf>
    <xf borderId="0" fillId="0" fontId="1" numFmtId="0" xfId="0" applyAlignment="1" applyFont="1">
      <alignment readingOrder="0" vertical="center"/>
    </xf>
    <xf borderId="0" fillId="0" fontId="1" numFmtId="0" xfId="0" applyAlignment="1" applyFont="1">
      <alignment horizontal="left" readingOrder="0" shrinkToFit="0" vertical="top" wrapText="1"/>
    </xf>
    <xf borderId="0" fillId="0" fontId="1" numFmtId="0" xfId="0" applyAlignment="1" applyFont="1">
      <alignment horizontal="left" shrinkToFit="0" vertical="center" wrapText="1"/>
    </xf>
    <xf borderId="0" fillId="0" fontId="1" numFmtId="0" xfId="0" applyAlignment="1" applyFont="1">
      <alignment readingOrder="0"/>
    </xf>
    <xf borderId="0" fillId="0" fontId="1" numFmtId="0" xfId="0" applyAlignment="1" applyFont="1">
      <alignment shrinkToFit="0" vertical="center" wrapText="1"/>
    </xf>
    <xf borderId="0" fillId="0" fontId="1"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8.63"/>
    <col customWidth="1" min="2" max="2" width="145.0"/>
  </cols>
  <sheetData>
    <row r="1">
      <c r="A1" s="1" t="s">
        <v>0</v>
      </c>
      <c r="B1" s="1" t="s">
        <v>1</v>
      </c>
      <c r="C1" s="2" t="s">
        <v>2</v>
      </c>
    </row>
    <row r="2">
      <c r="A2" s="3" t="s">
        <v>3</v>
      </c>
      <c r="B2" s="4" t="str">
        <f>IFERROR(__xludf.DUMMYFUNCTION("TRIM(REGEXREPLACE(A2, ""\s+"", "" ""))"),"Registro de Preço para aquisição, de forma futura e parcelada, de hidrômetros e macromedidores, destinados a Ampliação e Manutenção do Sistema de Abastecimento de Água, para atender as necessidades desta Autarquia Municipal, conforme condições, especifica"&amp;"ções e quantitativos indicados no Termo de Referência.")</f>
        <v>Registro de Preço para aquisição, de forma futura e parcelada, de hidrômetros e macromedidores, destinados a Ampliação e Manutenção do Sistema de Abastecimento de Água, para atender as necessidades desta Autarquia Municipal, conforme condições, especificações e quantitativos indicados no Termo de Referência.</v>
      </c>
      <c r="C2" s="2">
        <v>1.0</v>
      </c>
    </row>
    <row r="3">
      <c r="A3" s="3" t="s">
        <v>4</v>
      </c>
      <c r="B3" s="4" t="str">
        <f>IFERROR(__xludf.DUMMYFUNCTION("TRIM(REGEXREPLACE(A3, ""\s+"", "" ""))"),"REGISTRO DE PREÇOS PARA AQUISIÇÃO DE MEDIDOR DE VAZÃO E EQUIPAMENTOS ANALÍTICOS PORTÁTEIS")</f>
        <v>REGISTRO DE PREÇOS PARA AQUISIÇÃO DE MEDIDOR DE VAZÃO E EQUIPAMENTOS ANALÍTICOS PORTÁTEIS</v>
      </c>
      <c r="C3" s="2">
        <v>1.0</v>
      </c>
    </row>
    <row r="4">
      <c r="A4" s="3" t="s">
        <v>5</v>
      </c>
      <c r="B4" s="4" t="str">
        <f>IFERROR(__xludf.DUMMYFUNCTION("TRIM(REGEXREPLACE(A4, ""\s+"", "" ""))"),"Aquisição de macromedidores eletromagnéticos (tubo sensor flangeado e conversor de sinais), com fluxo bidirecional, especificados conforme requisitos técnicos, condições e exigências para o fornecimento e utilização em água tratada no sistema de abastecim"&amp;"ento de água do SAAE da Estância Turística de Barretos - SP.")</f>
        <v>Aquisição de macromedidores eletromagnéticos (tubo sensor flangeado e conversor de sinais), com fluxo bidirecional, especificados conforme requisitos técnicos, condições e exigências para o fornecimento e utilização em água tratada no sistema de abastecimento de água do SAAE da Estância Turística de Barretos - SP.</v>
      </c>
      <c r="C4" s="2">
        <v>1.0</v>
      </c>
    </row>
    <row r="5">
      <c r="A5" s="3" t="s">
        <v>6</v>
      </c>
      <c r="B5" s="4" t="str">
        <f>IFERROR(__xludf.DUMMYFUNCTION("TRIM(REGEXREPLACE(A5, ""\s+"", "" ""))"),"AQUISIÇÃO DE MEDIDORES DE VAZÃO PARA ESTAÇÃO DE TRATAMENTO DE ESGOTO (ETE) EM CALHA PARSHAL OU VERTEDOURO, EM GUARATINGUETÁ/SP.")</f>
        <v>AQUISIÇÃO DE MEDIDORES DE VAZÃO PARA ESTAÇÃO DE TRATAMENTO DE ESGOTO (ETE) EM CALHA PARSHAL OU VERTEDOURO, EM GUARATINGUETÁ/SP.</v>
      </c>
      <c r="C5" s="2">
        <v>1.0</v>
      </c>
    </row>
    <row r="6">
      <c r="A6" s="5" t="s">
        <v>7</v>
      </c>
      <c r="B6" s="4" t="str">
        <f>IFERROR(__xludf.DUMMYFUNCTION("TRIM(REGEXREPLACE(A6, ""\s+"", "" ""))"),"REGISTRO DE PREÇOS PARA AQUISIÇÃO DE MEDIDORES DE VAZÃO")</f>
        <v>REGISTRO DE PREÇOS PARA AQUISIÇÃO DE MEDIDORES DE VAZÃO</v>
      </c>
      <c r="C6" s="2">
        <v>1.0</v>
      </c>
    </row>
    <row r="7">
      <c r="A7" s="3" t="s">
        <v>8</v>
      </c>
      <c r="B7" s="4" t="str">
        <f>IFERROR(__xludf.DUMMYFUNCTION("TRIM(REGEXREPLACE(A7, ""\s+"", "" ""))"),"Aquisição de 02 (dois) medidores de vazão ultrassônico portáteis recarregáveis com transdutores para tubulações médias, de DN50 mm a DN700 mm, conforme disposto no Anexo I – Termo de Referência deste Edital")</f>
        <v>Aquisição de 02 (dois) medidores de vazão ultrassônico portáteis recarregáveis com transdutores para tubulações médias, de DN50 mm a DN700 mm, conforme disposto no Anexo I – Termo de Referência deste Edital</v>
      </c>
      <c r="C7" s="2">
        <v>1.0</v>
      </c>
    </row>
    <row r="8">
      <c r="A8" s="3" t="s">
        <v>9</v>
      </c>
      <c r="B8" s="4" t="str">
        <f>IFERROR(__xludf.DUMMYFUNCTION("TRIM(REGEXREPLACE(A8, ""\s+"", "" ""))"),"AQUISIÇÃO DE MEDIDORES DE VAZÃO ELETROMAGNÉTICOS DE TUBO, COM SEUS DEVIDOS CONVERSORES ELETRÔNICOS DE VAZÃO, ACOMPANHADOS DE CERTIFICADO DE CALIBRAÇÃO E AFERIÇÃO, CONFORME TERMO DE REFERÊNCIA – ANEXO I, EM CAXIAS DO SUL – RS.")</f>
        <v>AQUISIÇÃO DE MEDIDORES DE VAZÃO ELETROMAGNÉTICOS DE TUBO, COM SEUS DEVIDOS CONVERSORES ELETRÔNICOS DE VAZÃO, ACOMPANHADOS DE CERTIFICADO DE CALIBRAÇÃO E AFERIÇÃO, CONFORME TERMO DE REFERÊNCIA – ANEXO I, EM CAXIAS DO SUL – RS.</v>
      </c>
      <c r="C8" s="2">
        <v>1.0</v>
      </c>
    </row>
    <row r="9">
      <c r="A9" s="3" t="s">
        <v>10</v>
      </c>
      <c r="B9" s="4" t="str">
        <f>IFERROR(__xludf.DUMMYFUNCTION("TRIM(REGEXREPLACE(A9, ""\s+"", "" ""))"),"Aquisição de Instrumentos para a Conclusão do sistema de expedição de ácido sulfúrico da RNEST, conforme as especificações deste documento e de seus adendos.")</f>
        <v>Aquisição de Instrumentos para a Conclusão do sistema de expedição de ácido sulfúrico da RNEST, conforme as especificações deste documento e de seus adendos.</v>
      </c>
      <c r="C9" s="2">
        <v>1.0</v>
      </c>
    </row>
    <row r="10">
      <c r="A10" s="3" t="s">
        <v>11</v>
      </c>
      <c r="B10" s="4" t="str">
        <f>IFERROR(__xludf.DUMMYFUNCTION("TRIM(REGEXREPLACE(A10, ""\s+"", "" ""))"),"Aquisição de Transmissor de vazão, conforme as especificações deste documento e de seus adendos.")</f>
        <v>Aquisição de Transmissor de vazão, conforme as especificações deste documento e de seus adendos.</v>
      </c>
      <c r="C10" s="2">
        <v>1.0</v>
      </c>
    </row>
    <row r="11">
      <c r="A11" s="3" t="s">
        <v>12</v>
      </c>
      <c r="B11" s="4" t="str">
        <f>IFERROR(__xludf.DUMMYFUNCTION("TRIM(REGEXREPLACE(A11, ""\s+"", "" ""))"),"O objeto da presente licitação é a escolha da proposta mais vantajosa para a aquisição de medidores de vazão, para atender as demandas dos Projetos da Diretoria de Produtos, prioritariamente para o Projeto SIPAMHidro, do Centro Gestor e Operacional do Sis"&amp;"tema de Proteção da Amazônia - CENSIPAM, conforme condições, quantidades e exigências estabelecidas neste Edital e seus anexos.")</f>
        <v>O objeto da presente licitação é a escolha da proposta mais vantajosa para a aquisição de medidores de vazão, para atender as demandas dos Projetos da Diretoria de Produtos, prioritariamente para o Projeto SIPAMHidro, do Centro Gestor e Operacional do Sistema de Proteção da Amazônia - CENSIPAM, conforme condições, quantidades e exigências estabelecidas neste Edital e seus anexos.</v>
      </c>
      <c r="C11" s="2">
        <v>1.0</v>
      </c>
    </row>
    <row r="12">
      <c r="A12" s="3" t="s">
        <v>13</v>
      </c>
      <c r="B12" s="4" t="str">
        <f>IFERROR(__xludf.DUMMYFUNCTION("TRIM(REGEXREPLACE(A12, ""\s+"", "" ""))"),"O objeto da presente licitação consiste na PRESTAÇÃO DE SERVIÇO DE INSPEÇÃO E CALIBRAÇÃO EM VASOS DE PRESSÃO CONFORME NR-13, em conformidade com o disposto nos Anexos a seguir relacionados, que são partes integrantes deste Edital.")</f>
        <v>O objeto da presente licitação consiste na PRESTAÇÃO DE SERVIÇO DE INSPEÇÃO E CALIBRAÇÃO EM VASOS DE PRESSÃO CONFORME NR-13, em conformidade com o disposto nos Anexos a seguir relacionados, que são partes integrantes deste Edital.</v>
      </c>
      <c r="C12" s="2">
        <v>1.0</v>
      </c>
    </row>
    <row r="13">
      <c r="A13" s="3" t="s">
        <v>14</v>
      </c>
      <c r="B13" s="4" t="str">
        <f>IFERROR(__xludf.DUMMYFUNCTION("TRIM(REGEXREPLACE(A13, ""\s+"", "" ""))"),"Aquisição de Transmissor de Nível por contrato global, conforme as especificações deste documento e de seus adendos.")</f>
        <v>Aquisição de Transmissor de Nível por contrato global, conforme as especificações deste documento e de seus adendos.</v>
      </c>
      <c r="C13" s="2">
        <v>1.0</v>
      </c>
    </row>
    <row r="14">
      <c r="A14" s="3" t="s">
        <v>15</v>
      </c>
      <c r="B14" s="4" t="str">
        <f>IFERROR(__xludf.DUMMYFUNCTION("TRIM(REGEXREPLACE(A14, ""\s+"", "" ""))"),"A presente licitação tem por objeto a aquisição de medidor de nível ultrassônico, por solicitação da Diretoria Operacional de Infraestrutura e Logística.")</f>
        <v>A presente licitação tem por objeto a aquisição de medidor de nível ultrassônico, por solicitação da Diretoria Operacional de Infraestrutura e Logística.</v>
      </c>
      <c r="C14" s="2">
        <v>1.0</v>
      </c>
    </row>
    <row r="15">
      <c r="A15" s="3" t="s">
        <v>16</v>
      </c>
      <c r="B15" s="4" t="str">
        <f>IFERROR(__xludf.DUMMYFUNCTION("TRIM(REGEXREPLACE(A15, ""\s+"", "" ""))"),"AQUISIÇÃO DE ACESSÓRIOS PARA EQUIPAMENTOS ELÉTRICOS E ELETRÔNICOS E DE CONTROLE E MEDIÇÃO")</f>
        <v>AQUISIÇÃO DE ACESSÓRIOS PARA EQUIPAMENTOS ELÉTRICOS E ELETRÔNICOS E DE CONTROLE E MEDIÇÃO</v>
      </c>
      <c r="C15" s="2">
        <v>1.0</v>
      </c>
    </row>
    <row r="16">
      <c r="A16" s="3" t="s">
        <v>17</v>
      </c>
      <c r="B16" s="4" t="str">
        <f>IFERROR(__xludf.DUMMYFUNCTION("TRIM(REGEXREPLACE(A16, ""\s+"", "" ""))"),"Contratação de empresa especializada para fornecimento e instalação de conversores a bateria para medidores de vazão")</f>
        <v>Contratação de empresa especializada para fornecimento e instalação de conversores a bateria para medidores de vazão</v>
      </c>
      <c r="C16" s="2">
        <v>1.0</v>
      </c>
    </row>
    <row r="17">
      <c r="A17" s="3" t="s">
        <v>12</v>
      </c>
      <c r="B17" s="4" t="str">
        <f>IFERROR(__xludf.DUMMYFUNCTION("TRIM(REGEXREPLACE(A17, ""\s+"", "" ""))"),"O objeto da presente licitação é a escolha da proposta mais vantajosa para a aquisição de medidores de vazão, para atender as demandas dos Projetos da Diretoria de Produtos, prioritariamente para o Projeto SIPAMHidro, do Centro Gestor e Operacional do Sis"&amp;"tema de Proteção da Amazônia - CENSIPAM, conforme condições, quantidades e exigências estabelecidas neste Edital e seus anexos.")</f>
        <v>O objeto da presente licitação é a escolha da proposta mais vantajosa para a aquisição de medidores de vazão, para atender as demandas dos Projetos da Diretoria de Produtos, prioritariamente para o Projeto SIPAMHidro, do Centro Gestor e Operacional do Sistema de Proteção da Amazônia - CENSIPAM, conforme condições, quantidades e exigências estabelecidas neste Edital e seus anexos.</v>
      </c>
      <c r="C17" s="2">
        <v>1.0</v>
      </c>
    </row>
    <row r="18">
      <c r="A18" s="3" t="s">
        <v>18</v>
      </c>
      <c r="B18" s="4" t="str">
        <f>IFERROR(__xludf.DUMMYFUNCTION("TRIM(REGEXREPLACE(A18, ""\s+"", "" ""))"),"AQUISIÇÃO DE EQUIPAMENTOS: MEDIDOR DE VAZÃO ELETROMAGNÉTICO, PARA APLICAÇÃO NAS OBRAS DO S.A.A. NO MUNICÍPIO DE FRANCA (SAPUCAÍ - MIRIM), NO ÂMBITO DA COORDENADORIA DE PROJETOS REGIONAIS NORTE - TIP E DA UNIDADE DE NEGÓCIOS PARDO E GRANDE - RG.")</f>
        <v>AQUISIÇÃO DE EQUIPAMENTOS: MEDIDOR DE VAZÃO ELETROMAGNÉTICO, PARA APLICAÇÃO NAS OBRAS DO S.A.A. NO MUNICÍPIO DE FRANCA (SAPUCAÍ - MIRIM), NO ÂMBITO DA COORDENADORIA DE PROJETOS REGIONAIS NORTE - TIP E DA UNIDADE DE NEGÓCIOS PARDO E GRANDE - RG.</v>
      </c>
      <c r="C18" s="2">
        <v>1.0</v>
      </c>
    </row>
    <row r="19">
      <c r="A19" s="3" t="s">
        <v>19</v>
      </c>
      <c r="B19" s="4" t="str">
        <f>IFERROR(__xludf.DUMMYFUNCTION("TRIM(REGEXREPLACE(A19, ""\s+"", "" ""))"),"O objeto da presente licitação consiste no FORNECIMENTO DE TRANSMISSOR DE PRESSÃO E VAZÃO COM MODEM E REGISTRADOR DE DADOS INTEGRADO – GPRS, de acordo com as especificações e obrigações constantes dos Anexos a seguir relacionados que são partes integrante"&amp;"s deste Edital e bem como as demais condições deste instrumento convocatório.")</f>
        <v>O objeto da presente licitação consiste no FORNECIMENTO DE TRANSMISSOR DE PRESSÃO E VAZÃO COM MODEM E REGISTRADOR DE DADOS INTEGRADO – GPRS, de acordo com as especificações e obrigações constantes dos Anexos a seguir relacionados que são partes integrantes deste Edital e bem como as demais condições deste instrumento convocatório.</v>
      </c>
      <c r="C19" s="2">
        <v>1.0</v>
      </c>
    </row>
    <row r="20">
      <c r="A20" s="3" t="s">
        <v>20</v>
      </c>
      <c r="B20" s="4" t="str">
        <f>IFERROR(__xludf.DUMMYFUNCTION("TRIM(REGEXREPLACE(A20, ""\s+"", "" ""))"),"AQUISIÇÃO DE 105 (CENTO E CINCO) SENSORES DE NÍVEL DO TIPO RADAR E DE 105 (CENTO E CINCO) CONTROLADORES COM INDICAÇÃO DE NÍVEL PARA UTILIZAÇÃO EM ESTAÇÕES DE TRATAMENTO DE ESGOTO NAS ÁREAS DAS UNIDADES DE NEGÓCIO DO INTERIOR")</f>
        <v>AQUISIÇÃO DE 105 (CENTO E CINCO) SENSORES DE NÍVEL DO TIPO RADAR E DE 105 (CENTO E CINCO) CONTROLADORES COM INDICAÇÃO DE NÍVEL PARA UTILIZAÇÃO EM ESTAÇÕES DE TRATAMENTO DE ESGOTO NAS ÁREAS DAS UNIDADES DE NEGÓCIO DO INTERIOR</v>
      </c>
      <c r="C20" s="2">
        <v>1.0</v>
      </c>
    </row>
    <row r="21">
      <c r="A21" s="3" t="s">
        <v>21</v>
      </c>
      <c r="B21" s="4" t="str">
        <f>IFERROR(__xludf.DUMMYFUNCTION("TRIM(REGEXREPLACE(A21, ""\s+"", "" ""))"),"Aquisição de medidores de vazão eletromagnéticos para esgoto com protocolo Profibus DP")</f>
        <v>Aquisição de medidores de vazão eletromagnéticos para esgoto com protocolo Profibus DP</v>
      </c>
      <c r="C21" s="2">
        <v>1.0</v>
      </c>
    </row>
    <row r="22">
      <c r="A22" s="3" t="s">
        <v>22</v>
      </c>
      <c r="B22" s="4" t="str">
        <f>IFERROR(__xludf.DUMMYFUNCTION("TRIM(REGEXREPLACE(A22, ""\s+"", "" ""))"),"Aquisição de Transmissor de pressão, conforme as especificações deste documento e de seus adendos.")</f>
        <v>Aquisição de Transmissor de pressão, conforme as especificações deste documento e de seus adendos.</v>
      </c>
      <c r="C22" s="2">
        <v>1.0</v>
      </c>
    </row>
    <row r="23">
      <c r="A23" s="3" t="s">
        <v>23</v>
      </c>
      <c r="B23" s="4" t="str">
        <f>IFERROR(__xludf.DUMMYFUNCTION("TRIM(REGEXREPLACE(A23, ""\s+"", "" ""))"),"O presente Pregão Eletrônico tem por objeto a aquisição de medidores de vazão tipos rotativo e diafragma, conforme condições e especificações técnicas constantes neste Edital e seus Anexos.")</f>
        <v>O presente Pregão Eletrônico tem por objeto a aquisição de medidores de vazão tipos rotativo e diafragma, conforme condições e especificações técnicas constantes neste Edital e seus Anexos.</v>
      </c>
      <c r="C23" s="2">
        <v>1.0</v>
      </c>
    </row>
    <row r="24">
      <c r="A24" s="3" t="s">
        <v>24</v>
      </c>
      <c r="B24" s="4" t="str">
        <f>IFERROR(__xludf.DUMMYFUNCTION("TRIM(REGEXREPLACE(A24, ""\s+"", "" ""))"),"AQUISIÇÃO DE MATERIAIS ELÉTRICO E ELETRÔNICOS ESTOCÁVEIS PARA SEÇÃO DE MANUTENÇÃO ELÉTRICA E AUTOMAÇÃO, CONFORME CONDIÇÕES E ESPECIFICAÇÕES DO TERMO DE REFERÊNCIA – ANEXO I")</f>
        <v>AQUISIÇÃO DE MATERIAIS ELÉTRICO E ELETRÔNICOS ESTOCÁVEIS PARA SEÇÃO DE MANUTENÇÃO ELÉTRICA E AUTOMAÇÃO, CONFORME CONDIÇÕES E ESPECIFICAÇÕES DO TERMO DE REFERÊNCIA – ANEXO I</v>
      </c>
      <c r="C24" s="2">
        <v>1.0</v>
      </c>
    </row>
    <row r="25">
      <c r="A25" s="3" t="s">
        <v>25</v>
      </c>
      <c r="B25" s="4" t="str">
        <f>IFERROR(__xludf.DUMMYFUNCTION("TRIM(REGEXREPLACE(A25, ""\s+"", "" ""))"),"Constitui objeto da presente licitação: “A aquisição dos medidores de vazão para controle do consumo de água no município de bocaiuva, especificamente em poços na zona rural especificamente para os poços de Camilo Prates e sentinela, além de macromedição "&amp;"dos carregadores de pipas” , conforme especificações constantes no Termo de Referência anexo a este edital.")</f>
        <v>Constitui objeto da presente licitação: “A aquisição dos medidores de vazão para controle do consumo de água no município de bocaiuva, especificamente em poços na zona rural especificamente para os poços de Camilo Prates e sentinela, além de macromedição dos carregadores de pipas” , conforme especificações constantes no Termo de Referência anexo a este edital.</v>
      </c>
      <c r="C25" s="2">
        <v>1.0</v>
      </c>
    </row>
    <row r="26">
      <c r="A26" s="3" t="s">
        <v>26</v>
      </c>
      <c r="B26" s="4" t="str">
        <f>IFERROR(__xludf.DUMMYFUNCTION("TRIM(REGEXREPLACE(A26, ""\s+"", "" ""))"),"AQUISIÇÃO DE TRANSMISSORES DE PRESSÃO")</f>
        <v>AQUISIÇÃO DE TRANSMISSORES DE PRESSÃO</v>
      </c>
      <c r="C26" s="2">
        <v>1.0</v>
      </c>
    </row>
    <row r="27">
      <c r="A27" s="3" t="s">
        <v>27</v>
      </c>
      <c r="B27" s="4" t="str">
        <f>IFERROR(__xludf.DUMMYFUNCTION("TRIM(REGEXREPLACE(A27, ""\s+"", "" ""))"),"O objeto do presente procedimento é a escolha da proposta mais vantajosa para a contratação, por dispensa de licitação, de SERVIÇO DE AFERIÇÃO E OU CALIBRAÇÃO, conforme condições, quantidades e exigências estabelecidas neste Aviso de Contratação Direta e "&amp;"seus anexos")</f>
        <v>O objeto do presente procedimento é a escolha da proposta mais vantajosa para a contratação, por dispensa de licitação, de SERVIÇO DE AFERIÇÃO E OU CALIBRAÇÃO, conforme condições, quantidades e exigências estabelecidas neste Aviso de Contratação Direta e seus anexos</v>
      </c>
      <c r="C27" s="2">
        <v>1.0</v>
      </c>
    </row>
    <row r="28">
      <c r="A28" s="3" t="s">
        <v>28</v>
      </c>
      <c r="B28" s="4" t="str">
        <f>IFERROR(__xludf.DUMMYFUNCTION("TRIM(REGEXREPLACE(A28, ""\s+"", "" ""))"),"O objeto do presente chamamento público é a contratação de pessoa jurídica especializada para o fornecimento de equipamentos de instrumentação para atender os laboratórios dos cursos técnicos de automação do SENAI PE, visando atender as necessidades do SE"&amp;"NAI/PE, de acordo com as condições, quantidades e especificações técnicas descritas no Anexo I deste instrumento – Termo de Referência.")</f>
        <v>O objeto do presente chamamento público é a contratação de pessoa jurídica especializada para o fornecimento de equipamentos de instrumentação para atender os laboratórios dos cursos técnicos de automação do SENAI PE, visando atender as necessidades do SENAI/PE, de acordo com as condições, quantidades e especificações técnicas descritas no Anexo I deste instrumento – Termo de Referência.</v>
      </c>
      <c r="C28" s="2">
        <v>1.0</v>
      </c>
    </row>
    <row r="29">
      <c r="A29" s="5" t="s">
        <v>29</v>
      </c>
      <c r="B29" s="4" t="str">
        <f>IFERROR(__xludf.DUMMYFUNCTION("TRIM(REGEXREPLACE(A29, ""\s+"", "" ""))"),"Registro de Preço para a futura e eventual contratação de empresa especializada para fornecimento de materiais e produtos químicos para atender o departamento de água e esgoto da Estação de Tratamento de Água - ETA.")</f>
        <v>Registro de Preço para a futura e eventual contratação de empresa especializada para fornecimento de materiais e produtos químicos para atender o departamento de água e esgoto da Estação de Tratamento de Água - ETA.</v>
      </c>
      <c r="C29" s="2">
        <v>1.0</v>
      </c>
    </row>
    <row r="30">
      <c r="A30" s="3" t="s">
        <v>30</v>
      </c>
      <c r="B30" s="4" t="str">
        <f>IFERROR(__xludf.DUMMYFUNCTION("TRIM(REGEXREPLACE(A30, ""\s+"", "" ""))"),"AQUISIÇÃO DE CALHA PARSHALL PARA INSTALAÇÃO NO SISTEMA INTEGRADO DE ABASTECIMENTO DE ÁGUA (SIAA) DE FEIRA DE SANTANA 3ª ETAPA.")</f>
        <v>AQUISIÇÃO DE CALHA PARSHALL PARA INSTALAÇÃO NO SISTEMA INTEGRADO DE ABASTECIMENTO DE ÁGUA (SIAA) DE FEIRA DE SANTANA 3ª ETAPA.</v>
      </c>
      <c r="C30" s="2">
        <v>1.0</v>
      </c>
    </row>
    <row r="31">
      <c r="A31" s="3" t="s">
        <v>31</v>
      </c>
      <c r="B31" s="4" t="str">
        <f>IFERROR(__xludf.DUMMYFUNCTION("TRIM(REGEXREPLACE(A31, ""\s+"", "" ""))"),"REGISTRO DE PREÇOS PARA AQUISIÇÃO DE MATERIAIS ELÉTRICOS E EQUIPAMENTOS ELETRÔNICOS")</f>
        <v>REGISTRO DE PREÇOS PARA AQUISIÇÃO DE MATERIAIS ELÉTRICOS E EQUIPAMENTOS ELETRÔNICOS</v>
      </c>
      <c r="C31" s="2">
        <v>1.0</v>
      </c>
    </row>
    <row r="32">
      <c r="A32" s="3" t="s">
        <v>32</v>
      </c>
      <c r="B32" s="4" t="str">
        <f>IFERROR(__xludf.DUMMYFUNCTION("TRIM(REGEXREPLACE(A32, ""\s+"", "" ""))"),"Aquisição de medidores de vazão ultrassônicos e eletromagnéticos, na forma do Sistema de Registro de Preços – SRP.")</f>
        <v>Aquisição de medidores de vazão ultrassônicos e eletromagnéticos, na forma do Sistema de Registro de Preços – SRP.</v>
      </c>
      <c r="C32" s="2">
        <v>1.0</v>
      </c>
    </row>
    <row r="33">
      <c r="A33" s="3" t="s">
        <v>33</v>
      </c>
      <c r="B33" s="4" t="str">
        <f>IFERROR(__xludf.DUMMYFUNCTION("TRIM(REGEXREPLACE(A33, ""\s+"", "" ""))"),"Fornecimento de medidores de vazão ultrassônicos tipo clamp on tempo de trânsito para água bruta, para medição em tubulação de ferro fundido, para uso na captação de água do Rio Atibaia e na captação Santana do Cuiabano, conforme as especificações do Anex"&amp;"o II Termo de Referência.")</f>
        <v>Fornecimento de medidores de vazão ultrassônicos tipo clamp on tempo de trânsito para água bruta, para medição em tubulação de ferro fundido, para uso na captação de água do Rio Atibaia e na captação Santana do Cuiabano, conforme as especificações do Anexo II Termo de Referência.</v>
      </c>
      <c r="C33" s="2">
        <v>1.0</v>
      </c>
    </row>
    <row r="34">
      <c r="A34" s="3" t="s">
        <v>34</v>
      </c>
      <c r="B34" s="4" t="str">
        <f>IFERROR(__xludf.DUMMYFUNCTION("TRIM(REGEXREPLACE(A34, ""\s+"", "" ""))"),"Contratação de empresa para aquisição de com aquisição de equipamentos de bombeamento, tubulações, peças e conexões hidráulicas,melhor especificado no ANEXO I")</f>
        <v>Contratação de empresa para aquisição de com aquisição de equipamentos de bombeamento, tubulações, peças e conexões hidráulicas,melhor especificado no ANEXO I</v>
      </c>
      <c r="C34" s="2">
        <v>1.0</v>
      </c>
    </row>
    <row r="35">
      <c r="A35" s="3" t="s">
        <v>35</v>
      </c>
      <c r="B35" s="4" t="str">
        <f>IFERROR(__xludf.DUMMYFUNCTION("TRIM(REGEXREPLACE(A35, ""\s+"", "" ""))"),"AQUISIÇÃO DE EQUIPAMENTOS DIVERSOS PARA ATENDER AS NECESSIDADES DO IF SUDESTE MG")</f>
        <v>AQUISIÇÃO DE EQUIPAMENTOS DIVERSOS PARA ATENDER AS NECESSIDADES DO IF SUDESTE MG</v>
      </c>
      <c r="C35" s="2">
        <v>1.0</v>
      </c>
    </row>
    <row r="36">
      <c r="A36" s="3" t="s">
        <v>36</v>
      </c>
      <c r="B36" s="4" t="str">
        <f>IFERROR(__xludf.DUMMYFUNCTION("TRIM(REGEXREPLACE(A36, ""\s+"", "" ""))"),"A presente licitação tem por objeto a aquisição de macromedidores de vazão eletromagnéticos para o controle de perdas nos Sistemas de Captação e Reservação de Água no município de Votuporanga/SP.")</f>
        <v>A presente licitação tem por objeto a aquisição de macromedidores de vazão eletromagnéticos para o controle de perdas nos Sistemas de Captação e Reservação de Água no município de Votuporanga/SP.</v>
      </c>
      <c r="C36" s="2">
        <v>1.0</v>
      </c>
    </row>
    <row r="37">
      <c r="A37" s="3" t="s">
        <v>37</v>
      </c>
      <c r="B37" s="4" t="str">
        <f>IFERROR(__xludf.DUMMYFUNCTION("TRIM(REGEXREPLACE(A37, ""\s+"", "" ""))"),"A presente licitação tem por objeto a Aquisição de Medidor de Vazão Eletromagnético, microprocessado, com conversor eletrônico de sinal, caracterizados a seguir nas Disposições Técnicas Específicas; em conformidade com o ANEXO I – TERMO DE REFERÊNCIA.")</f>
        <v>A presente licitação tem por objeto a Aquisição de Medidor de Vazão Eletromagnético, microprocessado, com conversor eletrônico de sinal, caracterizados a seguir nas Disposições Técnicas Específicas; em conformidade com o ANEXO I – TERMO DE REFERÊNCIA.</v>
      </c>
      <c r="C37" s="2">
        <v>1.0</v>
      </c>
    </row>
    <row r="38">
      <c r="A38" s="3" t="s">
        <v>38</v>
      </c>
      <c r="B38" s="4" t="str">
        <f>IFERROR(__xludf.DUMMYFUNCTION("TRIM(REGEXREPLACE(A38, ""\s+"", "" ""))"),"AQUISIÇÃO DE MATERIAIS PARA MANUTENÇÕES INDUSTRIAIS, CONFORME TERMO DE REFERÊNCIA - ANEXO I.")</f>
        <v>AQUISIÇÃO DE MATERIAIS PARA MANUTENÇÕES INDUSTRIAIS, CONFORME TERMO DE REFERÊNCIA - ANEXO I.</v>
      </c>
      <c r="C38" s="2">
        <v>1.0</v>
      </c>
    </row>
    <row r="39">
      <c r="A39" s="3" t="s">
        <v>39</v>
      </c>
      <c r="B39" s="4" t="str">
        <f>IFERROR(__xludf.DUMMYFUNCTION("TRIM(REGEXREPLACE(A39, ""\s+"", "" ""))"),"Aquisição de Macro Medidor conforme descrição abaixo: Medidor de vazão eletromagnético, DN 150, para uma vazão de 100 metros cúbicos por hora, pressão mínima de 100 m.c.a, com as flanges de 6”, inclusive parafusos galvanizados, transmissor local, display "&amp;"lcd, saída de sinal digital.")</f>
        <v>Aquisição de Macro Medidor conforme descrição abaixo: Medidor de vazão eletromagnético, DN 150, para uma vazão de 100 metros cúbicos por hora, pressão mínima de 100 m.c.a, com as flanges de 6”, inclusive parafusos galvanizados, transmissor local, display lcd, saída de sinal digital.</v>
      </c>
      <c r="C39" s="2">
        <v>1.0</v>
      </c>
    </row>
    <row r="40">
      <c r="A40" s="3" t="s">
        <v>40</v>
      </c>
      <c r="B40" s="4" t="str">
        <f>IFERROR(__xludf.DUMMYFUNCTION("TRIM(REGEXREPLACE(A40, ""\s+"", "" ""))"),"Aquisição, montagem, instalação, comissionamento e testes funcionais de 01 (um) Medidor de vazão ultrassônico não intrusivo do tipo clamp on e 02 (dois) conversores de 4-20 mA para Profibus DP, ou comunicação Profibus DP inclusa na própria eletrônica do c"&amp;"onversor, e aquisição de 03 (três) medidores de vazão eletromagnético do tipo carretel para água bruta, sendo 02 (dois) DN 800 e 01 (um) DN 1000.")</f>
        <v>Aquisição, montagem, instalação, comissionamento e testes funcionais de 01 (um) Medidor de vazão ultrassônico não intrusivo do tipo clamp on e 02 (dois) conversores de 4-20 mA para Profibus DP, ou comunicação Profibus DP inclusa na própria eletrônica do conversor, e aquisição de 03 (três) medidores de vazão eletromagnético do tipo carretel para água bruta, sendo 02 (dois) DN 800 e 01 (um) DN 1000.</v>
      </c>
      <c r="C40" s="2">
        <v>1.0</v>
      </c>
    </row>
    <row r="41">
      <c r="A41" s="5" t="s">
        <v>41</v>
      </c>
      <c r="B41" s="4" t="str">
        <f>IFERROR(__xludf.DUMMYFUNCTION("TRIM(REGEXREPLACE(A41, ""\s+"", "" ""))"),"O objeto do presente Pregão CEDAE trata de ""FORNECIMENTO E INSTALAÇÃO DE CINCO MEDIDORES ULTRASSÔNICOS DO TIPO CLAMP ON PARA MEDIÇÃO DE ÁGUA BRUTA NA ETA GUANDU""")</f>
        <v>O objeto do presente Pregão CEDAE trata de "FORNECIMENTO E INSTALAÇÃO DE CINCO MEDIDORES ULTRASSÔNICOS DO TIPO CLAMP ON PARA MEDIÇÃO DE ÁGUA BRUTA NA ETA GUANDU"</v>
      </c>
      <c r="C41" s="2">
        <v>1.0</v>
      </c>
    </row>
    <row r="42">
      <c r="A42" s="3" t="s">
        <v>42</v>
      </c>
      <c r="B42" s="4" t="str">
        <f>IFERROR(__xludf.DUMMYFUNCTION("TRIM(REGEXREPLACE(A42, ""\s+"", "" ""))"),"Fornecimento e instalação completa, incluindo startup, de 13 (treze) medidores de vazão eletromagnéticos de carretel nas unidades produtoras ETA´s I, II, III e IV, do Sistema de Abastecimento de Água de Blumenau.")</f>
        <v>Fornecimento e instalação completa, incluindo startup, de 13 (treze) medidores de vazão eletromagnéticos de carretel nas unidades produtoras ETA´s I, II, III e IV, do Sistema de Abastecimento de Água de Blumenau.</v>
      </c>
      <c r="C42" s="2">
        <v>1.0</v>
      </c>
    </row>
    <row r="43">
      <c r="A43" s="3" t="s">
        <v>43</v>
      </c>
      <c r="B43" s="4" t="str">
        <f>IFERROR(__xludf.DUMMYFUNCTION("TRIM(REGEXREPLACE(A43, ""\s+"", "" ""))"),"Registro de Preços para FUTURA e EVENTUAL aquisição de materiais elétricos e correlatos, visando atender às necessidades da Superintendência Municipal de Água e Esgoto – SAE, para o período de 12 (doze) meses, conforme condições, quantidades e exigências "&amp;"estabelecidas neste instrumento")</f>
        <v>Registro de Preços para FUTURA e EVENTUAL aquisição de materiais elétricos e correlatos, visando atender às necessidades da Superintendência Municipal de Água e Esgoto – SAE, para o período de 12 (doze) meses, conforme condições, quantidades e exigências estabelecidas neste instrumento</v>
      </c>
      <c r="C43" s="2">
        <v>1.0</v>
      </c>
    </row>
    <row r="44">
      <c r="A44" s="3" t="s">
        <v>44</v>
      </c>
      <c r="B44" s="4" t="str">
        <f>IFERROR(__xludf.DUMMYFUNCTION("TRIM(REGEXREPLACE(A44, ""\s+"", "" ""))"),"O objeto desta licitação é aquisição de mostradores secundários avulsos para medidores de vazão eletromagnéticos de carretel, conforme condições, quantidades e exigências estabelecidas neste Edital e no Termo de Referência (Ordem de Licitação nº 11813/202"&amp;"4 – DA)")</f>
        <v>O objeto desta licitação é aquisição de mostradores secundários avulsos para medidores de vazão eletromagnéticos de carretel, conforme condições, quantidades e exigências estabelecidas neste Edital e no Termo de Referência (Ordem de Licitação nº 11813/2024 – DA)</v>
      </c>
      <c r="C44" s="2">
        <v>1.0</v>
      </c>
    </row>
    <row r="45">
      <c r="A45" s="3" t="s">
        <v>45</v>
      </c>
      <c r="B45" s="4" t="str">
        <f>IFERROR(__xludf.DUMMYFUNCTION("TRIM(REGEXREPLACE(A45, ""\s+"", "" ""))"),"Constitui objeto do presente edital a Pregão Eletrônico com Registro Preços futura e eventual contratação de empresa especializada no fornecimento de materiais hidráulicos e equipamentos para saneamento, bem como, medidores de vazão (calha parshall, hidrô"&amp;"metros woltmann e hidrômetros multijato) Serviço Autônomo de Água e Esgoto – SAAE de Lucas do Rio Verde/MT")</f>
        <v>Constitui objeto do presente edital a Pregão Eletrônico com Registro Preços futura e eventual contratação de empresa especializada no fornecimento de materiais hidráulicos e equipamentos para saneamento, bem como, medidores de vazão (calha parshall, hidrômetros woltmann e hidrômetros multijato) Serviço Autônomo de Água e Esgoto – SAAE de Lucas do Rio Verde/MT</v>
      </c>
      <c r="C45" s="2">
        <v>1.0</v>
      </c>
    </row>
    <row r="46">
      <c r="A46" s="3" t="s">
        <v>46</v>
      </c>
      <c r="B46" s="4" t="str">
        <f>IFERROR(__xludf.DUMMYFUNCTION("TRIM(REGEXREPLACE(A46, ""\s+"", "" ""))"),"O objeto desta licitação consiste na CONTRATAÇÃO DE INSTALAÇÃO DE MACROMEDIDORES COM FORNECIMENTO DE MATERIAIS NO SAA CHAPECÓ de acordo com as especificações contidas nos ANEXO I (MODELO DE PROPOSTA DETALHADA) e ANEXO II (PROJETO BÁSICO) deste Edital e RE"&amp;"GULAMENTAÇÃO DE PREÇOS E CRITÉRIOS DE MEDIÇÃO disponível no site da CASAN")</f>
        <v>O objeto desta licitação consiste na CONTRATAÇÃO DE INSTALAÇÃO DE MACROMEDIDORES COM FORNECIMENTO DE MATERIAIS NO SAA CHAPECÓ de acordo com as especificações contidas nos ANEXO I (MODELO DE PROPOSTA DETALHADA) e ANEXO II (PROJETO BÁSICO) deste Edital e REGULAMENTAÇÃO DE PREÇOS E CRITÉRIOS DE MEDIÇÃO disponível no site da CASAN</v>
      </c>
      <c r="C46" s="2">
        <v>1.0</v>
      </c>
    </row>
    <row r="47">
      <c r="A47" s="3" t="s">
        <v>47</v>
      </c>
      <c r="B47" s="4" t="str">
        <f>IFERROR(__xludf.DUMMYFUNCTION("TRIM(REGEXREPLACE(A47, ""\s+"", "" ""))"),"O objeto da presente licitação é o REGISTRO DE PREÇOS PARA O FORNECIMENTO PARCELADO DE MEDIDORES DE VAZÃO ULTRASSÔNICO, conforme condições, quantidades e exigências estabelecidas no Termo de Referência, Anexo I deste edital")</f>
        <v>O objeto da presente licitação é o REGISTRO DE PREÇOS PARA O FORNECIMENTO PARCELADO DE MEDIDORES DE VAZÃO ULTRASSÔNICO, conforme condições, quantidades e exigências estabelecidas no Termo de Referência, Anexo I deste edital</v>
      </c>
      <c r="C47" s="2">
        <v>1.0</v>
      </c>
    </row>
    <row r="48">
      <c r="A48" s="3" t="s">
        <v>48</v>
      </c>
      <c r="B48" s="4" t="str">
        <f>IFERROR(__xludf.DUMMYFUNCTION("TRIM(REGEXREPLACE(A48, ""\s+"", "" ""))"),"Registro de Preços para aquisição de Reagentes e Equipamentos Laboratoriais para análise de água bruta e tratada aos entes consorciados do CISAM-SUL, com entrega nas respectivas sedes, podendo ou não atingir a totalidade licitada, conforme as especificaçõ"&amp;"es, quantitativos e condições estabelecidas nos anexos e nas condições previstas neste Edital")</f>
        <v>Registro de Preços para aquisição de Reagentes e Equipamentos Laboratoriais para análise de água bruta e tratada aos entes consorciados do CISAM-SUL, com entrega nas respectivas sedes, podendo ou não atingir a totalidade licitada, conforme as especificações, quantitativos e condições estabelecidas nos anexos e nas condições previstas neste Edital</v>
      </c>
      <c r="C48" s="2">
        <v>1.0</v>
      </c>
    </row>
    <row r="49">
      <c r="A49" s="3" t="s">
        <v>49</v>
      </c>
      <c r="B49" s="4" t="str">
        <f>IFERROR(__xludf.DUMMYFUNCTION("TRIM(REGEXREPLACE(A49, ""\s+"", "" ""))"),"Registro de Preços pelo prazo de 12 (doze) meses para aquisições futuras de Sensores automáticos de medição do nível d'agua e pressão atmosférica (item 1) e de Sensores automáticos de medição do nível d'agua, condutividade elétrica e pressão atmosférica ("&amp;"item 2), para atender as necessidades da Companhia de Pesquisa de Recursos Minerais - CPRM, conforme as especificações constantes no Termo de Referência – Anexo I, deste Edital")</f>
        <v>Registro de Preços pelo prazo de 12 (doze) meses para aquisições futuras de Sensores automáticos de medição do nível d'agua e pressão atmosférica (item 1) e de Sensores automáticos de medição do nível d'agua, condutividade elétrica e pressão atmosférica (item 2), para atender as necessidades da Companhia de Pesquisa de Recursos Minerais - CPRM, conforme as especificações constantes no Termo de Referência – Anexo I, deste Edital</v>
      </c>
      <c r="C49" s="2">
        <v>1.0</v>
      </c>
    </row>
    <row r="50">
      <c r="A50" s="3" t="s">
        <v>50</v>
      </c>
      <c r="B50" s="4" t="str">
        <f>IFERROR(__xludf.DUMMYFUNCTION("TRIM(REGEXREPLACE(A50, ""\s+"", "" ""))"),"O objeto desta licitação consiste na AQUISIÇÃO DE TRANSMISSORES DE NÍVEL PARA UTILIZAÇÃO NAS ESTAÇÕES DE TRATAMENTO DE ESGOTO DA SUPERINTENDÊNCIA REGIONAL DE NEGÓCIOS DA REGIÃO METROPOLITANA DA GRANDE FLORIANÓPOLIS (SRM), de acordo com as especificações c"&amp;"ontidas nos ANEXO I (MODELO DE PROPOSTA DETALHADA) e ANEXO II (TERMO DE REFERÊNCIA) deste Edital")</f>
        <v>O objeto desta licitação consiste na AQUISIÇÃO DE TRANSMISSORES DE NÍVEL PARA UTILIZAÇÃO NAS ESTAÇÕES DE TRATAMENTO DE ESGOTO DA SUPERINTENDÊNCIA REGIONAL DE NEGÓCIOS DA REGIÃO METROPOLITANA DA GRANDE FLORIANÓPOLIS (SRM), de acordo com as especificações contidas nos ANEXO I (MODELO DE PROPOSTA DETALHADA) e ANEXO II (TERMO DE REFERÊNCIA) deste Edital</v>
      </c>
      <c r="C50" s="2">
        <v>1.0</v>
      </c>
    </row>
    <row r="51">
      <c r="A51" s="3" t="s">
        <v>51</v>
      </c>
      <c r="B51" s="4" t="str">
        <f>IFERROR(__xludf.DUMMYFUNCTION("TRIM(REGEXREPLACE(A51, ""\s+"", "" ""))"),"O presente aviso tem por objeto a manutenção corretiva, com substituição de peças, de inversores de frequência marca Weg, conversores Modbus RTU marca Siemens e conserto de medidor de vazão/conversor marca Siemens, conforme especificações constantes no Te"&amp;"rmo de Referência.")</f>
        <v>O presente aviso tem por objeto a manutenção corretiva, com substituição de peças, de inversores de frequência marca Weg, conversores Modbus RTU marca Siemens e conserto de medidor de vazão/conversor marca Siemens, conforme especificações constantes no Termo de Referência.</v>
      </c>
      <c r="C51" s="2">
        <v>1.0</v>
      </c>
    </row>
    <row r="52">
      <c r="A52" s="3" t="s">
        <v>52</v>
      </c>
      <c r="B52" s="4" t="str">
        <f>IFERROR(__xludf.DUMMYFUNCTION("TRIM(REGEXREPLACE(A52, ""\s+"", "" ""))"),"A presente licitação tem por objeto a escolha da proposta mais vantajosa para aquisição de macromedidores de vazão eletromagnéticos para o controle de perdas nos Sistemas de Captação e Reservação de Água no município de Votuporanga/SP, nos termos da tabel"&amp;"a abaixo, conforme condições e exigências estabelecidas neste instrumento e seus anexos, Termo de Referência, Estudo Técnico Preliminar.")</f>
        <v>A presente licitação tem por objeto a escolha da proposta mais vantajosa para aquisição de macromedidores de vazão eletromagnéticos para o controle de perdas nos Sistemas de Captação e Reservação de Água no município de Votuporanga/SP, nos termos da tabela abaixo, conforme condições e exigências estabelecidas neste instrumento e seus anexos, Termo de Referência, Estudo Técnico Preliminar.</v>
      </c>
      <c r="C52" s="2">
        <v>1.0</v>
      </c>
    </row>
    <row r="53">
      <c r="A53" s="3" t="s">
        <v>53</v>
      </c>
      <c r="B53" s="4" t="str">
        <f>IFERROR(__xludf.DUMMYFUNCTION("TRIM(REGEXREPLACE(A53, ""\s+"", "" ""))"),"4.1. O objeto da licitação é Registro de Preço para futuras e eventuais aquisições de SENSORES DE NÍVEL, nas condições estabelecidas neste edital e seus anexos.")</f>
        <v>4.1. O objeto da licitação é Registro de Preço para futuras e eventuais aquisições de SENSORES DE NÍVEL, nas condições estabelecidas neste edital e seus anexos.</v>
      </c>
      <c r="C53" s="2">
        <v>1.0</v>
      </c>
    </row>
    <row r="54">
      <c r="A54" s="3" t="s">
        <v>54</v>
      </c>
      <c r="B54" s="4" t="str">
        <f>IFERROR(__xludf.DUMMYFUNCTION("TRIM(REGEXREPLACE(A54, ""\s+"", "" ""))"),"AQUISIÇÃO DE TRANSMISSORES DE NÍVEL HIDROSTÁTICOS.")</f>
        <v>AQUISIÇÃO DE TRANSMISSORES DE NÍVEL HIDROSTÁTICOS.</v>
      </c>
      <c r="C54" s="2">
        <v>1.0</v>
      </c>
    </row>
    <row r="55">
      <c r="A55" s="3" t="s">
        <v>11</v>
      </c>
      <c r="B55" s="4" t="str">
        <f>IFERROR(__xludf.DUMMYFUNCTION("TRIM(REGEXREPLACE(A55, ""\s+"", "" ""))"),"Aquisição de Transmissor de vazão, conforme as especificações deste documento e de seus adendos.")</f>
        <v>Aquisição de Transmissor de vazão, conforme as especificações deste documento e de seus adendos.</v>
      </c>
      <c r="C55" s="2">
        <v>1.0</v>
      </c>
    </row>
    <row r="56">
      <c r="A56" s="3" t="s">
        <v>55</v>
      </c>
      <c r="B56" s="4" t="str">
        <f>IFERROR(__xludf.DUMMYFUNCTION("TRIM(REGEXREPLACE(A56, ""\s+"", "" ""))"),"O presente Pregão Eletrônico tem por objeto, o registro de preços para aquisição de medidor de vazão eletromagnético para atender a demanda do setor de abastecimento de água do Município de Canelinha, conforme especificações e quantidades descritas nos an"&amp;"exos do Edital.")</f>
        <v>O presente Pregão Eletrônico tem por objeto, o registro de preços para aquisição de medidor de vazão eletromagnético para atender a demanda do setor de abastecimento de água do Município de Canelinha, conforme especificações e quantidades descritas nos anexos do Edital.</v>
      </c>
      <c r="C56" s="2">
        <v>1.0</v>
      </c>
    </row>
    <row r="57">
      <c r="A57" s="3" t="s">
        <v>56</v>
      </c>
      <c r="B57" s="4" t="str">
        <f>IFERROR(__xludf.DUMMYFUNCTION("TRIM(REGEXREPLACE(A57, ""\s+"", "" ""))"),"AQUISIÇÃO DE 25 IHM 7"" - SUPERINTENDÊNCIA DE PRODUÇÃO DE ÁGUA - OA")</f>
        <v>AQUISIÇÃO DE 25 IHM 7" - SUPERINTENDÊNCIA DE PRODUÇÃO DE ÁGUA - OA</v>
      </c>
      <c r="C57" s="2">
        <v>1.0</v>
      </c>
    </row>
    <row r="58">
      <c r="A58" s="3" t="s">
        <v>57</v>
      </c>
      <c r="B58" s="4" t="str">
        <f>IFERROR(__xludf.DUMMYFUNCTION("TRIM(REGEXREPLACE(A58, ""\s+"", "" ""))"),"AQUISIÇÃO DE INTERFACE HOMEM MÁQUINA PARA SEREM UTILIZADOS NAS DIVERSAS UNIDADES OPERACIONAIS DA CESAN.")</f>
        <v>AQUISIÇÃO DE INTERFACE HOMEM MÁQUINA PARA SEREM UTILIZADOS NAS DIVERSAS UNIDADES OPERACIONAIS DA CESAN.</v>
      </c>
      <c r="C58" s="2">
        <v>1.0</v>
      </c>
    </row>
    <row r="59">
      <c r="A59" s="3" t="s">
        <v>58</v>
      </c>
      <c r="B59" s="4" t="str">
        <f>IFERROR(__xludf.DUMMYFUNCTION("TRIM(REGEXREPLACE(A59, ""\s+"", "" ""))"),"Sensor e conversor para medidor de vazão, conforme as especificações deste Edital e de seus adendos.")</f>
        <v>Sensor e conversor para medidor de vazão, conforme as especificações deste Edital e de seus adendos.</v>
      </c>
      <c r="C59" s="2">
        <v>1.0</v>
      </c>
    </row>
    <row r="60">
      <c r="A60" s="3" t="s">
        <v>59</v>
      </c>
      <c r="B60" s="4" t="str">
        <f>IFERROR(__xludf.DUMMYFUNCTION("TRIM(REGEXREPLACE(A60, ""\s+"", "" ""))"),"O objeto da presente licitação consiste na aquisição de SENSORES INDUTIVOS (PARTNUMBER) E ELETRODUTOS 1.1/2”, em conformidade com o disposto nos Anexos a seguir relacionados, que são partes integrantes deste Edital.")</f>
        <v>O objeto da presente licitação consiste na aquisição de SENSORES INDUTIVOS (PARTNUMBER) E ELETRODUTOS 1.1/2”, em conformidade com o disposto nos Anexos a seguir relacionados, que são partes integrantes deste Edital.</v>
      </c>
      <c r="C60" s="2">
        <v>1.0</v>
      </c>
    </row>
    <row r="61">
      <c r="A61" s="3" t="s">
        <v>60</v>
      </c>
      <c r="B61" s="4" t="str">
        <f>IFERROR(__xludf.DUMMYFUNCTION("TRIM(REGEXREPLACE(A61, ""\s+"", "" ""))"),"O objeto da presente dispensa eletrônica é a Contratação de empresa para calibração dos sensores de vazão de entrada e saída da ETE Laranja Azeda por uma empresa certificada, com laudo a ser apresentado para a CETESB, de acordo com a exigência do PAEL, co"&amp;"nforme condições, quantidades e exigências estabelecidas neste Aviso de Dispensa Eletrônica e no Anexo I (Termo de Referência)")</f>
        <v>O objeto da presente dispensa eletrônica é a Contratação de empresa para calibração dos sensores de vazão de entrada e saída da ETE Laranja Azeda por uma empresa certificada, com laudo a ser apresentado para a CETESB, de acordo com a exigência do PAEL, conforme condições, quantidades e exigências estabelecidas neste Aviso de Dispensa Eletrônica e no Anexo I (Termo de Referência)</v>
      </c>
      <c r="C61" s="2">
        <v>1.0</v>
      </c>
    </row>
    <row r="62">
      <c r="A62" s="3" t="s">
        <v>61</v>
      </c>
      <c r="B62" s="4" t="str">
        <f>IFERROR(__xludf.DUMMYFUNCTION("TRIM(REGEXREPLACE(A62, ""\s+"", "" ""))"),"A presente licitação tem como objeto a aquisição de medidores de vazão eletromagnéticos carretel sem necessidade de trecho reto, de acordo com as especificações e quantidades descritas no Termo de Referência, para monitoramento de volume captado/bombeado "&amp;"de água bruta para ETA, monitoramento de volume de chegada e tratado pela ETA, volume distribuído para os reservatórios e monitoramento de volume de água/saída dos reservatórios para as unidades de consumo do município em conformidade com o Anexo I – Term"&amp;"o de Referência que integra este Edital.")</f>
        <v>A presente licitação tem como objeto a aquisição de medidores de vazão eletromagnéticos carretel sem necessidade de trecho reto, de acordo com as especificações e quantidades descritas no Termo de Referência, para monitoramento de volume captado/bombeado de água bruta para ETA, monitoramento de volume de chegada e tratado pela ETA, volume distribuído para os reservatórios e monitoramento de volume de água/saída dos reservatórios para as unidades de consumo do município em conformidade com o Anexo I – Termo de Referência que integra este Edital.</v>
      </c>
      <c r="C62" s="2">
        <v>1.0</v>
      </c>
    </row>
    <row r="63">
      <c r="A63" s="3" t="s">
        <v>62</v>
      </c>
      <c r="B63" s="4" t="str">
        <f>IFERROR(__xludf.DUMMYFUNCTION("TRIM(REGEXREPLACE(A63, ""\s+"", "" ""))"),"Aquisição de materiais e equipamentos para Estação de Tratamento de Esgoto do córrego Bebedouro pelo Serviço Autônomo de Água e Esgotos de Bebedouro (SAAEB Ambiental), em consonância com a planilha de preços onde resta listada a relação dos itens com suas"&amp;" especificações")</f>
        <v>Aquisição de materiais e equipamentos para Estação de Tratamento de Esgoto do córrego Bebedouro pelo Serviço Autônomo de Água e Esgotos de Bebedouro (SAAEB Ambiental), em consonância com a planilha de preços onde resta listada a relação dos itens com suas especificações</v>
      </c>
      <c r="C63" s="2">
        <v>1.0</v>
      </c>
    </row>
    <row r="64">
      <c r="A64" s="3" t="s">
        <v>63</v>
      </c>
      <c r="B64" s="4" t="str">
        <f>IFERROR(__xludf.DUMMYFUNCTION("TRIM(REGEXREPLACE(A64, ""\s+"", "" ""))"),"FUTURA E EVENTUAL AQUISIÇÃO DE MATERIAIS HIDRÁULICOS DE FERRO FUNDIDO E PVC, MATERIAIS ELÉTRICOS E EPI, nos termos da tabela abaixo, conforme condições e exigências estabelecidas neste instrumento.")</f>
        <v>FUTURA E EVENTUAL AQUISIÇÃO DE MATERIAIS HIDRÁULICOS DE FERRO FUNDIDO E PVC, MATERIAIS ELÉTRICOS E EPI, nos termos da tabela abaixo, conforme condições e exigências estabelecidas neste instrumento.</v>
      </c>
      <c r="C64" s="2">
        <v>1.0</v>
      </c>
    </row>
    <row r="65">
      <c r="A65" s="3" t="s">
        <v>64</v>
      </c>
      <c r="B65" s="4" t="str">
        <f>IFERROR(__xludf.DUMMYFUNCTION("TRIM(REGEXREPLACE(A65, ""\s+"", "" ""))"),"AQUISIÇÃO DE MEDIDOR DE VAZÃO TIPO CALHA PARSHALL, PARA DIVERSAS ETES DA UNIDADE DE NEGÓCIO BAIXO TIETÊ E GRANDE, DA DIRETORIA DE OPERAÇÃO E MANUTENÇÃO")</f>
        <v>AQUISIÇÃO DE MEDIDOR DE VAZÃO TIPO CALHA PARSHALL, PARA DIVERSAS ETES DA UNIDADE DE NEGÓCIO BAIXO TIETÊ E GRANDE, DA DIRETORIA DE OPERAÇÃO E MANUTENÇÃO</v>
      </c>
      <c r="C65" s="2">
        <v>1.0</v>
      </c>
    </row>
    <row r="66">
      <c r="A66" s="3" t="s">
        <v>65</v>
      </c>
      <c r="B66" s="4" t="str">
        <f>IFERROR(__xludf.DUMMYFUNCTION("TRIM(REGEXREPLACE(A66, ""\s+"", "" ""))"),"Aquisição de peças para manutenção de equipamentos de Macromedição.")</f>
        <v>Aquisição de peças para manutenção de equipamentos de Macromedição.</v>
      </c>
      <c r="C66" s="2">
        <v>1.0</v>
      </c>
    </row>
    <row r="67">
      <c r="A67" s="3" t="s">
        <v>66</v>
      </c>
      <c r="B67" s="4" t="str">
        <f>IFERROR(__xludf.DUMMYFUNCTION("TRIM(REGEXREPLACE(A67, ""\s+"", "" ""))"),"AQUISIÇÃO DE EQUIPAMENTOS E MÃO DE OBRA DE TELEMETRIA")</f>
        <v>AQUISIÇÃO DE EQUIPAMENTOS E MÃO DE OBRA DE TELEMETRIA</v>
      </c>
      <c r="C67" s="2">
        <v>1.0</v>
      </c>
    </row>
    <row r="68">
      <c r="A68" s="1" t="s">
        <v>67</v>
      </c>
      <c r="B68" s="6" t="str">
        <f>IFERROR(__xludf.DUMMYFUNCTION("TRIM(REGEXREPLACE(A68, ""\s+"", "" ""))"),"O objeto desta licitação consiste na REGISTRO DE PREÇOS PARA AQUISIÇÃO EVENTUAL DE MACROMEDIDORES ELETROMAGNÉTICOS, de acordo com as especificações contidas nos ANEXO I (MODELO DE PROPOSTA DETALHADA) e ANEXO II (TERMO DE REFERÊNCIA) deste Edital")</f>
        <v>O objeto desta licitação consiste na REGISTRO DE PREÇOS PARA AQUISIÇÃO EVENTUAL DE MACROMEDIDORES ELETROMAGNÉTICOS, de acordo com as especificações contidas nos ANEXO I (MODELO DE PROPOSTA DETALHADA) e ANEXO II (TERMO DE REFERÊNCIA) deste Edital</v>
      </c>
      <c r="C68" s="2">
        <v>1.0</v>
      </c>
    </row>
    <row r="69">
      <c r="A69" s="7" t="s">
        <v>68</v>
      </c>
      <c r="B69" s="6" t="str">
        <f>IFERROR(__xludf.DUMMYFUNCTION("TRIM(REGEXREPLACE(A69, ""\s+"", "" ""))"),"Registro de preços para contratação de empresa especializada no serviço de calibração de instrumentos de medição diversos para atender as necessidades do CMASM")</f>
        <v>Registro de preços para contratação de empresa especializada no serviço de calibração de instrumentos de medição diversos para atender as necessidades do CMASM</v>
      </c>
      <c r="C69" s="2">
        <v>1.0</v>
      </c>
    </row>
    <row r="70">
      <c r="A70" s="7" t="s">
        <v>69</v>
      </c>
      <c r="B70" s="6" t="str">
        <f>IFERROR(__xludf.DUMMYFUNCTION("TRIM(REGEXREPLACE(A70, ""\s+"", "" ""))"),"O objeto desta licitação é aquisição de transmissores de pressão, conforme condições, quantidades e exigências estabelecidas neste Edital e no Termo de Referência (Ordem de Licitação nº 11600/2024 – DA).")</f>
        <v>O objeto desta licitação é aquisição de transmissores de pressão, conforme condições, quantidades e exigências estabelecidas neste Edital e no Termo de Referência (Ordem de Licitação nº 11600/2024 – DA).</v>
      </c>
      <c r="C70" s="2">
        <v>1.0</v>
      </c>
    </row>
    <row r="71">
      <c r="A71" s="7" t="s">
        <v>70</v>
      </c>
      <c r="B71" s="6" t="str">
        <f>IFERROR(__xludf.DUMMYFUNCTION("TRIM(REGEXREPLACE(A71, ""\s+"", "" ""))"),"O presente edital tem como objeto aquisição de medidores de vazão conforme especificações e quantitativos constantes do Anexo II deste Edital.")</f>
        <v>O presente edital tem como objeto aquisição de medidores de vazão conforme especificações e quantitativos constantes do Anexo II deste Edital.</v>
      </c>
      <c r="C71" s="2">
        <v>1.0</v>
      </c>
    </row>
    <row r="72">
      <c r="A72" s="7" t="s">
        <v>32</v>
      </c>
      <c r="B72" s="6" t="str">
        <f>IFERROR(__xludf.DUMMYFUNCTION("TRIM(REGEXREPLACE(A72, ""\s+"", "" ""))"),"Aquisição de medidores de vazão ultrassônicos e eletromagnéticos, na forma do Sistema de Registro de Preços – SRP.")</f>
        <v>Aquisição de medidores de vazão ultrassônicos e eletromagnéticos, na forma do Sistema de Registro de Preços – SRP.</v>
      </c>
      <c r="C72" s="2">
        <v>1.0</v>
      </c>
    </row>
    <row r="73">
      <c r="A73" s="7" t="s">
        <v>71</v>
      </c>
      <c r="B73" s="6" t="str">
        <f>IFERROR(__xludf.DUMMYFUNCTION("TRIM(REGEXREPLACE(A73, ""\s+"", "" ""))"),"Aquisição de Materiais Hidráulicos a fim de executar a ampliação de meta física do convênio n°1014 firmado entre a SSAAP e SINFRA-MT, nos termos, condições e exigências estabelecidas no Termo de Referência.")</f>
        <v>Aquisição de Materiais Hidráulicos a fim de executar a ampliação de meta física do convênio n°1014 firmado entre a SSAAP e SINFRA-MT, nos termos, condições e exigências estabelecidas no Termo de Referência.</v>
      </c>
      <c r="C73" s="2">
        <v>1.0</v>
      </c>
    </row>
    <row r="74">
      <c r="A74" s="5" t="s">
        <v>72</v>
      </c>
      <c r="B74" s="6" t="str">
        <f>IFERROR(__xludf.DUMMYFUNCTION("TRIM(REGEXREPLACE(A74, ""\s+"", "" ""))"),"REGISTRO DE PREÇOS PARA AQUISIÇÃO DE MEDIDOR DE VAZÃO E EQUIPAMENTOS ANALÍTICOS PORTÁTEIS")</f>
        <v>REGISTRO DE PREÇOS PARA AQUISIÇÃO DE MEDIDOR DE VAZÃO E EQUIPAMENTOS ANALÍTICOS PORTÁTEIS</v>
      </c>
      <c r="C74" s="2">
        <v>1.0</v>
      </c>
    </row>
    <row r="75">
      <c r="A75" s="5" t="s">
        <v>73</v>
      </c>
      <c r="B75" s="6" t="str">
        <f>IFERROR(__xludf.DUMMYFUNCTION("TRIM(REGEXREPLACE(A75, ""\s+"", "" ""))"),"O objeto do presente procedimento é a escolha da proposta mais vantajosa para a contratação, por dispensa de licitação, de Medidor de Vazão, conforme condições, quantidades e exigências estabelecidas neste Aviso de Contratação Direta e seus anexos.")</f>
        <v>O objeto do presente procedimento é a escolha da proposta mais vantajosa para a contratação, por dispensa de licitação, de Medidor de Vazão, conforme condições, quantidades e exigências estabelecidas neste Aviso de Contratação Direta e seus anexos.</v>
      </c>
      <c r="C75" s="2">
        <v>1.0</v>
      </c>
    </row>
    <row r="76">
      <c r="A76" s="7" t="s">
        <v>74</v>
      </c>
      <c r="B76" s="6" t="str">
        <f>IFERROR(__xludf.DUMMYFUNCTION("TRIM(REGEXREPLACE(A76, ""\s+"", "" ""))"),"Constitui o objeto do presente procedimento licitatório a AQUISIÇÃO DE MEDIDOR DE VAZÃO, de acordo com as especificações, quantitativos e condições estabelecidas no Anexo I deste Edital.")</f>
        <v>Constitui o objeto do presente procedimento licitatório a AQUISIÇÃO DE MEDIDOR DE VAZÃO, de acordo com as especificações, quantitativos e condições estabelecidas no Anexo I deste Edital.</v>
      </c>
      <c r="C76" s="2">
        <v>1.0</v>
      </c>
    </row>
    <row r="77">
      <c r="A77" s="7" t="s">
        <v>75</v>
      </c>
      <c r="B77" s="6" t="str">
        <f>IFERROR(__xludf.DUMMYFUNCTION("TRIM(REGEXREPLACE(A77, ""\s+"", "" ""))"),"O objeto desta licitação é aquisição de macromedidores diversos, conforme condições, quantidades e exigências estabelecidas neste Edital e no Termo de Referência (Ordem de Licitação nº 11514/2023 – DA).")</f>
        <v>O objeto desta licitação é aquisição de macromedidores diversos, conforme condições, quantidades e exigências estabelecidas neste Edital e no Termo de Referência (Ordem de Licitação nº 11514/2023 – DA).</v>
      </c>
      <c r="C77" s="2">
        <v>1.0</v>
      </c>
    </row>
    <row r="78">
      <c r="A78" s="7" t="s">
        <v>76</v>
      </c>
      <c r="B78" s="6" t="str">
        <f>IFERROR(__xludf.DUMMYFUNCTION("TRIM(REGEXREPLACE(A78, ""\s+"", "" ""))"),"Aquisição de 2 Sensores de nível ultrassónico")</f>
        <v>Aquisição de 2 Sensores de nível ultrassónico</v>
      </c>
      <c r="C78" s="2">
        <v>1.0</v>
      </c>
    </row>
    <row r="79">
      <c r="A79" s="7" t="s">
        <v>77</v>
      </c>
      <c r="B79" s="6" t="str">
        <f>IFERROR(__xludf.DUMMYFUNCTION("TRIM(REGEXREPLACE(A79, ""\s+"", "" ""))"),"AQUISIÇÃO DE MEDIDORES DE VAZÃO ULTRASSONICOS.")</f>
        <v>AQUISIÇÃO DE MEDIDORES DE VAZÃO ULTRASSONICOS.</v>
      </c>
      <c r="C79" s="2">
        <v>1.0</v>
      </c>
    </row>
    <row r="80">
      <c r="A80" s="7" t="s">
        <v>78</v>
      </c>
      <c r="B80" s="6" t="str">
        <f>IFERROR(__xludf.DUMMYFUNCTION("TRIM(REGEXREPLACE(A80, ""\s+"", "" ""))"),"AQUISIÇÃO DE MATERIAIS E EQUIPAMENTOS DIVERSOS, DESTINADOS AS OBRAS DE AMPLIAÇÃO DO SISTEMA DE ABASTECIMENTO DE ÁGUA QUE ATENDE AS CIDADES DE CERES E RIALMA, NO ESTADO DE GOIÁS, SANEAMENTO DE GOIÁS S.A.")</f>
        <v>AQUISIÇÃO DE MATERIAIS E EQUIPAMENTOS DIVERSOS, DESTINADOS AS OBRAS DE AMPLIAÇÃO DO SISTEMA DE ABASTECIMENTO DE ÁGUA QUE ATENDE AS CIDADES DE CERES E RIALMA, NO ESTADO DE GOIÁS, SANEAMENTO DE GOIÁS S.A.</v>
      </c>
      <c r="C80" s="2">
        <v>1.0</v>
      </c>
    </row>
    <row r="81">
      <c r="A81" s="7" t="s">
        <v>79</v>
      </c>
      <c r="B81" s="6" t="str">
        <f>IFERROR(__xludf.DUMMYFUNCTION("TRIM(REGEXREPLACE(A81, ""\s+"", "" ""))"),"O objeto da licitação é a aquisição de material hidromecânico para construção da adutora integrando o Sistema Adutor Acarape do Meio - RMF ao Polo Industrial Químico de Guaiuba (Chemical Park), nas condições estabelecidas neste edital e seus anexos.")</f>
        <v>O objeto da licitação é a aquisição de material hidromecânico para construção da adutora integrando o Sistema Adutor Acarape do Meio - RMF ao Polo Industrial Químico de Guaiuba (Chemical Park), nas condições estabelecidas neste edital e seus anexos.</v>
      </c>
      <c r="C81" s="2">
        <v>1.0</v>
      </c>
    </row>
    <row r="82">
      <c r="A82" s="7" t="s">
        <v>80</v>
      </c>
      <c r="B82" s="6" t="str">
        <f>IFERROR(__xludf.DUMMYFUNCTION("TRIM(REGEXREPLACE(A82, ""\s+"", "" ""))"),"AQUISIÇÃO DE CONTROLADOR LOGICO PROGRAMÁVEL (CLP) E INTERFACE HOMEM MÁQUINA (IHM).")</f>
        <v>AQUISIÇÃO DE CONTROLADOR LOGICO PROGRAMÁVEL (CLP) E INTERFACE HOMEM MÁQUINA (IHM).</v>
      </c>
      <c r="C82" s="2">
        <v>1.0</v>
      </c>
    </row>
    <row r="83">
      <c r="A83" s="7" t="s">
        <v>81</v>
      </c>
      <c r="B83" s="6" t="str">
        <f>IFERROR(__xludf.DUMMYFUNCTION("TRIM(REGEXREPLACE(A83, ""\s+"", "" ""))"),"O objeto da presente licitação é a prestação de serviços de calibração de Equipamentos e Dispositivos de Inspeção, Medição e Ensaio para atender as demandas da Casa da Moeda do Brasil, conforme condições, quantidades e exigências estabelecidas neste Edita"&amp;"l e seus anexos.")</f>
        <v>O objeto da presente licitação é a prestação de serviços de calibração de Equipamentos e Dispositivos de Inspeção, Medição e Ensaio para atender as demandas da Casa da Moeda do Brasil, conforme condições, quantidades e exigências estabelecidas neste Edital e seus anexos.</v>
      </c>
      <c r="C83" s="2">
        <v>1.0</v>
      </c>
    </row>
    <row r="84">
      <c r="A84" s="7" t="s">
        <v>82</v>
      </c>
      <c r="B84" s="6" t="str">
        <f>IFERROR(__xludf.DUMMYFUNCTION("TRIM(REGEXREPLACE(A84, ""\s+"", "" ""))"),"O objeto desta licitação é a AQUISIÇÃO DE MATERIAIS PERMANENTES – MEDIDORES DE VAZÃO ELETROMAGNÉTICO, decorrente da Solicitação de Compra (SC) Nº 01355/2024, conforme condições, quantidades e exigências deste edital e anexos.")</f>
        <v>O objeto desta licitação é a AQUISIÇÃO DE MATERIAIS PERMANENTES – MEDIDORES DE VAZÃO ELETROMAGNÉTICO, decorrente da Solicitação de Compra (SC) Nº 01355/2024, conforme condições, quantidades e exigências deste edital e anexos.</v>
      </c>
      <c r="C84" s="2">
        <v>1.0</v>
      </c>
    </row>
    <row r="85">
      <c r="A85" s="7" t="s">
        <v>83</v>
      </c>
      <c r="B85" s="6" t="str">
        <f>IFERROR(__xludf.DUMMYFUNCTION("TRIM(REGEXREPLACE(A85, ""\s+"", "" ""))"),"O objeto da presente licitação é a Contratação de empresa para serviço de calibração dos equipamentos de medição ETE Rio Preto, conforme condições, quantidades e exigências estabelecidas no Termo de Referência, Anexo 2 deste edital.")</f>
        <v>O objeto da presente licitação é a Contratação de empresa para serviço de calibração dos equipamentos de medição ETE Rio Preto, conforme condições, quantidades e exigências estabelecidas no Termo de Referência, Anexo 2 deste edital.</v>
      </c>
      <c r="C85" s="2">
        <v>1.0</v>
      </c>
    </row>
    <row r="86">
      <c r="A86" s="7" t="s">
        <v>84</v>
      </c>
      <c r="B86" s="6" t="str">
        <f>IFERROR(__xludf.DUMMYFUNCTION("TRIM(REGEXREPLACE(A86, ""\s+"", "" ""))"),"O presente pregão tem como objeto à aquisição de conversores eletromagnéticos de vazão com sinal microprocessado compatíveis com os macromedidores da marca Siemens, modelo MAG 6000, módulos de comunicação RS 485, cabos de controle e comunicação, bem como,"&amp;" transdutores de pressão, para manutenção técnica e operacional das atividades do SIMAE de Capinzal e Ouro/SC, de acordo com os valores e quantitativos, e demais condições definidos no Termo de Referência (ANEXO I).")</f>
        <v>O presente pregão tem como objeto à aquisição de conversores eletromagnéticos de vazão com sinal microprocessado compatíveis com os macromedidores da marca Siemens, modelo MAG 6000, módulos de comunicação RS 485, cabos de controle e comunicação, bem como, transdutores de pressão, para manutenção técnica e operacional das atividades do SIMAE de Capinzal e Ouro/SC, de acordo com os valores e quantitativos, e demais condições definidos no Termo de Referência (ANEXO I).</v>
      </c>
      <c r="C86" s="2">
        <v>1.0</v>
      </c>
    </row>
    <row r="87">
      <c r="A87" s="7" t="s">
        <v>85</v>
      </c>
      <c r="B87" s="6" t="str">
        <f>IFERROR(__xludf.DUMMYFUNCTION("TRIM(REGEXREPLACE(A87, ""\s+"", "" ""))"),"CONTRATAÇÃO DE EMPRESA PARA A AQUISIÇÃO COMPARTILHADA DE EQUIPAMENTOS PARA ABASTECIMENTO PELOS ENTES PÚBLICOS ESPECIFICADOS NO TERMO DE REFERÊNCIA, EDITAL E DEMAIS ANEXOS, QUE INTEGRARÃO A ATA DE REGISTRO DE PREÇOS")</f>
        <v>CONTRATAÇÃO DE EMPRESA PARA A AQUISIÇÃO COMPARTILHADA DE EQUIPAMENTOS PARA ABASTECIMENTO PELOS ENTES PÚBLICOS ESPECIFICADOS NO TERMO DE REFERÊNCIA, EDITAL E DEMAIS ANEXOS, QUE INTEGRARÃO A ATA DE REGISTRO DE PREÇOS</v>
      </c>
      <c r="C87" s="2">
        <v>1.0</v>
      </c>
    </row>
    <row r="88">
      <c r="A88" s="7" t="s">
        <v>86</v>
      </c>
      <c r="B88" s="6" t="str">
        <f>IFERROR(__xludf.DUMMYFUNCTION("TRIM(REGEXREPLACE(A88, ""\s+"", "" ""))"),"CONTRATAÇÃO DE EMPRESA ESPECIALIZADA EM FORNECIMENTO E INSTALAÇÃO DEFINITIVA DO MEDIDOR DE VAZÃO DE CHORUME CALHA PARSHALL W=1 EM POLIESTER REFORÇADO COM FIBRA DE VIDRO E RESINA ORTOFITALICA, DE ESTRUTURA REFORÇADA COM ANCORAS PARA SER CHUMBADA AO CONCRET"&amp;"O")</f>
        <v>CONTRATAÇÃO DE EMPRESA ESPECIALIZADA EM FORNECIMENTO E INSTALAÇÃO DEFINITIVA DO MEDIDOR DE VAZÃO DE CHORUME CALHA PARSHALL W=1 EM POLIESTER REFORÇADO COM FIBRA DE VIDRO E RESINA ORTOFITALICA, DE ESTRUTURA REFORÇADA COM ANCORAS PARA SER CHUMBADA AO CONCRETO</v>
      </c>
      <c r="C88" s="2">
        <v>1.0</v>
      </c>
    </row>
    <row r="89">
      <c r="A89" s="7" t="s">
        <v>87</v>
      </c>
      <c r="B89" s="6" t="str">
        <f>IFERROR(__xludf.DUMMYFUNCTION("TRIM(REGEXREPLACE(A89, ""\s+"", "" ""))"),"Aquisição de equipamentos médico-odontológicos, laboratoriais, hospitalares e aparelhos de medição e orientação para os seguintes Centros da Universidade do Estado de Santa Catarina – UDESC: Centro de Ciências Agroveterinárias – CAV, Centro de Educação Su"&amp;"perior do Alto Vale do Itajaí – CEAVI, Centro de Educação Superior do Oeste – CEO, Centro de Ciências Tecnológicas – CCT e Centro de Educação do Planalto Norte – CEPLAN, conforme especificações constantes do Anexo I e II")</f>
        <v>Aquisição de equipamentos médico-odontológicos, laboratoriais, hospitalares e aparelhos de medição e orientação para os seguintes Centros da Universidade do Estado de Santa Catarina – UDESC: Centro de Ciências Agroveterinárias – CAV, Centro de Educação Superior do Alto Vale do Itajaí – CEAVI, Centro de Educação Superior do Oeste – CEO, Centro de Ciências Tecnológicas – CCT e Centro de Educação do Planalto Norte – CEPLAN, conforme especificações constantes do Anexo I e II</v>
      </c>
      <c r="C89" s="2">
        <v>1.0</v>
      </c>
    </row>
    <row r="90">
      <c r="A90" s="7" t="s">
        <v>88</v>
      </c>
      <c r="B90" s="6" t="str">
        <f>IFERROR(__xludf.DUMMYFUNCTION("TRIM(REGEXREPLACE(A90, ""\s+"", "" ""))"),"O objeto da presente licitação é a Aquisição de transmissores de pressão e sondas de nível para reposição de estoque e que serão utilizadas nos reservatórios do SeMAE para serviços de manutenção corretiva e obras de melhoria, conforme condições, quantidad"&amp;"es e exigências estabelecidas no Termo de Referência, Anexo 2 deste edital.")</f>
        <v>O objeto da presente licitação é a Aquisição de transmissores de pressão e sondas de nível para reposição de estoque e que serão utilizadas nos reservatórios do SeMAE para serviços de manutenção corretiva e obras de melhoria, conforme condições, quantidades e exigências estabelecidas no Termo de Referência, Anexo 2 deste edital.</v>
      </c>
      <c r="C90" s="2">
        <v>1.0</v>
      </c>
    </row>
    <row r="91">
      <c r="A91" s="7" t="s">
        <v>89</v>
      </c>
      <c r="B91" s="6" t="str">
        <f>IFERROR(__xludf.DUMMYFUNCTION("TRIM(REGEXREPLACE(A91, ""\s+"", "" ""))"),"Aquisição de material de consumo (Aquisição de tubos PEAD corrugado e calha Parshall), conforme especificação e condições constantes deste Edital e seus Anexos")</f>
        <v>Aquisição de material de consumo (Aquisição de tubos PEAD corrugado e calha Parshall), conforme especificação e condições constantes deste Edital e seus Anexos</v>
      </c>
      <c r="C91" s="2">
        <v>1.0</v>
      </c>
    </row>
    <row r="92">
      <c r="A92" s="7" t="s">
        <v>90</v>
      </c>
      <c r="B92" s="6" t="str">
        <f>IFERROR(__xludf.DUMMYFUNCTION("TRIM(REGEXREPLACE(A92, ""\s+"", "" ""))"),"AQUISIÇÃO DE MEDIDOR DE VAZÃO PARA SULFATO DE ALUMÍNIO")</f>
        <v>AQUISIÇÃO DE MEDIDOR DE VAZÃO PARA SULFATO DE ALUMÍNIO</v>
      </c>
      <c r="C92" s="2">
        <v>1.0</v>
      </c>
    </row>
    <row r="93">
      <c r="A93" s="7" t="s">
        <v>91</v>
      </c>
      <c r="B93" s="6" t="str">
        <f>IFERROR(__xludf.DUMMYFUNCTION("TRIM(REGEXREPLACE(A93, ""\s+"", "" ""))"),"Constitui o objeto do presente Pregão para Aquisição de MACROMEDIDORES ULTRASSÔNICOS PORTATÉIS, para aplicação/instalação no âmbito das Gerências Regionais, com o intuito de atender as necessidades da Companhia de Água e Esgotos da Paraíba - CAGEPA, confo"&amp;"rme condições, quantidades e exigências estabelecidas neste Edital, Termo de Referência e demais anexos.")</f>
        <v>Constitui o objeto do presente Pregão para Aquisição de MACROMEDIDORES ULTRASSÔNICOS PORTATÉIS, para aplicação/instalação no âmbito das Gerências Regionais, com o intuito de atender as necessidades da Companhia de Água e Esgotos da Paraíba - CAGEPA, conforme condições, quantidades e exigências estabelecidas neste Edital, Termo de Referência e demais anexos.</v>
      </c>
      <c r="C93" s="2">
        <v>1.0</v>
      </c>
    </row>
    <row r="94">
      <c r="A94" s="7" t="s">
        <v>92</v>
      </c>
      <c r="B94" s="6" t="str">
        <f>IFERROR(__xludf.DUMMYFUNCTION("TRIM(REGEXREPLACE(A94, ""\s+"", "" ""))"),"Aquisição de materiais e equipamentos para conclusão dos serviços de Construção da Barragem de Captação no Riacho Guararema e das Estações Elevatórias de Água Bruta EAB-1 e EAB-2.")</f>
        <v>Aquisição de materiais e equipamentos para conclusão dos serviços de Construção da Barragem de Captação no Riacho Guararema e das Estações Elevatórias de Água Bruta EAB-1 e EAB-2.</v>
      </c>
      <c r="C94" s="2">
        <v>1.0</v>
      </c>
    </row>
  </sheetData>
  <drawing r:id="rId1"/>
</worksheet>
</file>