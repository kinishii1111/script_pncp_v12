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lha1" sheetId="1" r:id="rId5"/>
  </sheets>
  <definedNames/>
  <calcPr/>
</workbook>
</file>

<file path=xl/sharedStrings.xml><?xml version="1.0" encoding="utf-8"?>
<sst xmlns="http://schemas.openxmlformats.org/spreadsheetml/2006/main" count="107" uniqueCount="105">
  <si>
    <t>texto_bruto</t>
  </si>
  <si>
    <t>x</t>
  </si>
  <si>
    <t>y</t>
  </si>
  <si>
    <t>Registro de Preço para contratação de empresa especializada para o fornecimento
futuro e eventual de produtos químicos, reagentes químicos, materiais de laboratório, aparelhos
para análise de água, equipamentos de proteção individual e serviços de coleta e análise de
água bruta, conforme a Portaria do CONAMA nº357/2005, água tratada e distribuição conforme
a Portaria GM/MS nº888/2021 e esgoto bruto e tratado conforme a Portaria do CONAMA
nº430/2011.</t>
  </si>
  <si>
    <t>Fornecimento de Instrumentos de medição, posto CIF na Unidade de Concentração de UrânioURA, em Caetité/BA, conforme condições, quantidades e características estabelecidas no Termo de
Referência</t>
  </si>
  <si>
    <t>AQUISIÇÃO DE TRANSMISSORES HIDROSTÁTICOS E MONITORES DE
PRESSÃO, CONFORME QUANTIDADES, CARACTERÍSTICAS E CONDIÇÕES
CONSTANTES NO TERMO DE REFERÊNCIA DESTE EDITAL.</t>
  </si>
  <si>
    <t>AQUISIÇÃO E INSTALAÇÃO DE MACROMEDIDOR E CONEXÕES NA SAÍDA DOS
RESERVATÓRIOS EM ANEXO A ESTAÇÃO DE TRATAMENTO DE ÁGUA</t>
  </si>
  <si>
    <t>CONTRATAÇÃO DE EMPRESA PARA MANUTENÇÃO E CALIBRAÇÃO DE MACROMEDIDORES DE
VAZÃO E TOTALIZAÇÃO</t>
  </si>
  <si>
    <t>A presente licitação tem por objeto a aquisição de materiais e componentes elétricos para
atendimento das demandas da Autarquia, visando a continuidade dos serviços prestados no município
de Votuporanga-SP, nos termos da tabela abaixo, conforme condições e exigências estabelecidas neste
instrumento e seus anexos.</t>
  </si>
  <si>
    <t>AQUISIÇÃO DE BENS DA(S) FAMÍLIA(S):
0405-EQUIPAMENTOS/COMPONENTES/ACESSÓRIOS P/MEDIÇÃO -
SENSOR DE NÍVEL D'ÁGUA - CAPACITIVO CERÂMICO DE PRESSÃO
ABSOLUTA</t>
  </si>
  <si>
    <t xml:space="preserve">AQUISIÇÃO DE APARELHOS DE MEDIÇÃO E ORIENTAÇÃO PARA ATENDER
DEMANDAS DA UFRN PELO PERÍODO DE 12 (DOZE) MESES
</t>
  </si>
  <si>
    <t xml:space="preserve"> AQUISIÇÃO E INSTALAÇÃO DE MACROMEDIDORES PARA CONTROLE DE PERDAS
NO SISTEMA DE ABASTECIMENTO DE AGUA DO MUNICIPIO DE ITUVERAVA/SP, conforme
contrato junto ao Fehidro de n.º 116/2024</t>
  </si>
  <si>
    <t>Aquisição de equipamentos para as estações de tratamento de água do Serviço Autônomo de
Água e Esgoto de Itajuípe – BA.</t>
  </si>
  <si>
    <t>Serviços de comissionamento de medidores de vazão de vapor,
conforme Termo de Referência</t>
  </si>
  <si>
    <t>REGISTRO DE PREÇOS PARA FUTURA E EVENTUAL AQUISIÇÃO DE MEDIDORES DE VAZÃO</t>
  </si>
  <si>
    <t>Constitui o objeto do presente Procedimento de Licitação da Epagri a aquisição de
medidores acústicos de vazão para a Epagri – Centro de Informações de Recursos Ambientais e de
Hidrometeorologia de Santa Catarina - CIRAM, conforme quantitativos e especificações
constantes nos ANEXOS I e II deste edital</t>
  </si>
  <si>
    <t>AQUISIÇÃO E INSTALAÇÃO DE MEDIDORES DE VAZÃO ULTRASSÔNICO
TIPO CANAL ABERTO CONVERSOR REMOTO PARA A MEDIÇÃO, AFERIÇÃO E
MONITORAMENTO DA VAZÃO DOS EFLUENTES DA ESTAÇÃO DE TRATAMENTO DE
ESGOTO</t>
  </si>
  <si>
    <t>INSTALAÇÃO DE MACROMEDIDORES ULTRASSÔNICOS CARRETEL
NO SAA DE GUARATINGUETÁ, COM FORNECIMENTO DE MATERIAIS,
SERVIÇOS DE INSTALAÇÃO, START UP E CONSTRUÇÃO CIVIL
(CAIXA)</t>
  </si>
  <si>
    <t>O objetivo desta licitação é selecionar, dentre as policitantes que se apresentarem,
a proposta considerada mais vantajosa, de acordo com os critérios estabelecidos no
presente Edital, para a aquisição de Medidor de vazão de água ultrassônicos não
intrusivos CLAMP-ON, organizado em ITEM, destinado ao planejamento de
hidrometria 2025 da Copasa, conforme os documentos “Relação de Materiais”, “Termo
de Referência” e anexos, integrantes deste instrumento convocatório.</t>
  </si>
  <si>
    <t>Contratação de serviços de calibração, certificação e/ou qualificação em instrumentos/equipamentos empregados em produção e/ou análise de medicamentos</t>
  </si>
  <si>
    <t>Registro de Preços para aquisição de hidrômetros e macro medidores para os
consorciados do CISPAR.</t>
  </si>
  <si>
    <t>O presente Pregão Eletrônico tem por objeto, o registro de preços para a aquisição
de medidor de vazão eletromagnético para atender a demanda do setor de abastecimento
de água do Semais no município canelinha, conforme especificações e quantidades
descritas nos anexos do Edital.</t>
  </si>
  <si>
    <t>Contratação de serviço de calibração do medidor de vazão eletromagnético do Laboratório de motores</t>
  </si>
  <si>
    <t>Contratação dos serviços de manutenção e
ensaio de medidores de vazão do tipo rotativo,
turbina e ultrassônico da Rede de Distribuição de
Gás Natural da ALGÁS.</t>
  </si>
  <si>
    <t>O objeto da presente licitação é a Contratação de empresa especializada para serviços de
manutenção corretiva em 13 macromedidores de vazão ultrassônicos R500, conforme condições,
quantidades e exigências estabelecidas no Termo de Referência, Anexo 2 deste edital</t>
  </si>
  <si>
    <t>AQUISIÇÃO DE MATERIAIS E EQUIPAMENTOS DIVERSOS
(FLOCULADORES MECÂNICOS, PLACA EM FIBRA DE VIDRO, CARVÃO
ANTRACITOSO E MACROMEDIDOR ELETROMAGNÉTICO), A SEREM
APLICADOS NAS OBRAS DE AMPLIAÇÃO DO SISTEMA DE
ABASTECIMENTO DE ÁGUA DOS MUNICÍPIOS DE CERES E RIALMA,
NESTE ESTADO DE GOIÁS, SANEAMENTO DE GOIÁS S.A.</t>
  </si>
  <si>
    <t xml:space="preserve">Aquisição de material hidráulico e elétrico para execução da interligação do poço com os
reservatórios existentes na sede do DAEP. 
</t>
  </si>
  <si>
    <t xml:space="preserve">Contratação de empresa especializada para prestação de serviços de
instalação e aquisição de medidores de vazão eletromagnéticos, tipo
carretel, para monitoramento/ aferição de volume captado de água bruta,
água tratada e distribuída para todos os reservatórios/ bairros do município
de Iracemápolis/ SP
</t>
  </si>
  <si>
    <t>Contratação de empresa especializada para pesquisa de vazamentos não
visíveis e reparo de vazamentos de água, na macrorregião da Vila Nery e implantação de
macro medidores no município de São Carlos – SP (Contrato FEHIDRO 086/2024), tudo
em conformidade com as especificações contidas nos Anexos deste Edital.</t>
  </si>
  <si>
    <t>A presente licitação tem como objeto a formação de ATA DE REGISTRO DE PREÇOS para eventual CONTRATAÇÃO DE EMPRESA PARA AQUISIÇÃO DE MEDIDORES DE VAZÃO, conforme especificações e quantitativos previstos no Termo de Referência (Anexo II), visando atender às demandas desta Autarquia</t>
  </si>
  <si>
    <t>O objeto da presente licitação consiste na aquisição de transmissores de
nível e/ou vazão em canal aberto (Calha Parshall) com princípio de medição
por radar, de acordo com as quantidades, especificações e obrigações constantes
dos Anexos a seguir relacionados que são partes integrantes deste Edital e bem
como as demais condições deste instrumento convocatório.</t>
  </si>
  <si>
    <t>Constitui o objeto do presente Pregão a Fornecimento de Macromedidores Ultrassônicos Portáteis para
aplicação/instalação no âmbito das Gerências Regionais, para atender às necessidades da Companhia de Água e
Esgotos da Paraíba - CAGEPA, conforme condições, quantidades e exigências estabelecidas neste Edital, Termo
de Referência e demais anexos</t>
  </si>
  <si>
    <t>REGISTRO DE PREÇO PARA AQUISIÇÃO DE MEDIDOR DE VAZÃO, MEDIDOR
DE NÍVEL E TRANSMISSOR DE NÍVEL.</t>
  </si>
  <si>
    <t>O presente Pregão Eletrônico tem por objeto a aquisição de medidores de vazão
diafragma para clientes previstos até 2027, constantes neste Edital e seus Anexos</t>
  </si>
  <si>
    <t xml:space="preserve">AQUISIÇÃO DE MATERIAIS E EQUIPAMENTOS, A SEREM UTILIZADOS NA
ESTAÇÃO DE TRATAMENTO DE ESGOTO (ETE), EM ATENDIMENTO À
SECRETARIA MUNICIPAL DE OBRAS E TRÂNSITO.
</t>
  </si>
  <si>
    <t xml:space="preserve">O objetivo desta licitação é selecionar, dentre as policitantes que se apresentarem,
a proposta considerada mais vantajosa, de acordo com os critérios estabelecidos no
presente Edital, para a aquisição de medidores ultrassônicos, organizados em
ITENS, destinados ao planejamento de hidrometria 2025 da Copasa, conforme os
documentos “Relação de Materiais”, “Termo de Referência” e anexos, integrantes deste
instrumento convocatório. </t>
  </si>
  <si>
    <t>O objetivo desta licitação é selecionar, dentre as policitantes que se apresentarem,
a proposta considerada mais vantajosa, de acordo com os critérios estabelecidos no
presente Edital, para a aquisição de medidores de vazão eletromagnéticos à
energia, organizados em ITENS, destinados ao planejamento de hidrometria 2025
da Copasa, conforme os documentos “Relação de Materiais”, “Termo de Referência” e
anexos, integrantes deste instrumento convocatório.</t>
  </si>
  <si>
    <t>PRESTAÇÃO DE SERVIÇOS DE MANUTENÇÃO, CALIBRAÇÃO
RASTREADA E CALIBRAÇÃO POR PITOMETRIA, DOS
MEDIDORES DE FLUXO ULTRASSÔNICOS COM SISTEMA DE
TELEMETRIA E ALIMENTAÇÃO FOTOVOLTAICA NOS SISTEMAS
DE ÁGUA DA ELETRONUCLEAR EM ANGRA DOS REIS E
PARATY/RJ, COM FORNECIMENTO, INSTALAÇÃO E
CONFIGURAÇÃO DE MATERIAIS.</t>
  </si>
  <si>
    <t xml:space="preserve"> PRESTAÇÃO DE SERVIÇOS DE ENGENHARIA PARA O RETROFIT DE 75
(SETENTA E CINCO) MACROMEDIDORES DE VAZÃO, COM DIÂMETROS ENTRE
250MM A 800MM - DEPARTAMENTO DE OPERAÇÃO SUL – OSO, DIVISÃO DE
OPERAÇÃO SUL – OSOA, DIRETORIA DE OPERAÇÃO E MANUTENÇÃO – O</t>
  </si>
  <si>
    <t>Constitui o objeto do presente procedimento a aquisição de conversor de sinal
eletromagnético, kit de selagem IP68 para submersão empregado em
medidores de vazão eletromagnético, medidor de vazão eletromagnético
1,0mpa alimentação 24VCC sinal de saída 4-20MA PN 10 DN 65, conforme
relação constante da Planilha de Orçamento</t>
  </si>
  <si>
    <t>O objeto da presente contratação direta é a Contratação de empresa especializada para implantação de sistema
de automação e telemetria integrado a plataforma supervisória, visando o monitoramento remoto e operação
automatizada da estação de bombeamento do Serviço Autônomo de Água e Esgoto (SAAE) do Município de Santa
Cruz/RN</t>
  </si>
  <si>
    <t>SRP para futura e eventual aquisição equipamentos para medição de vazão e pressão,
conforme ETP e Termo de referência em anexo aos autos.</t>
  </si>
  <si>
    <t>O objeto da licitação é a aquisição de material hidromecânico (PARTE B) para construção da
adutora de abastecimento das localidades de Retiro e Carneiro, município de Chaval-CE, nas condições estabelecidas neste Edital e seus anexos</t>
  </si>
  <si>
    <t xml:space="preserve">Contratação de Serviços contínuos de Calibração de Medidores de Vazão.
</t>
  </si>
  <si>
    <t>REGISTRO DE PREÇOS PARA AQUISIÇÃO DE MACROMEDIDORES PARA O
SISTEMA DE ABASTECIMENTO DE ÁGUA DE NOVA MUTUM/MT.</t>
  </si>
  <si>
    <t xml:space="preserve">O objeto da presente licitação é o Registro de Preços para eventual Aquisição de
medidores de vazão do tipo ultrassônico e eletromagnético, conversores de
vazão e demais componentes hidráulicos necessários à sua instalação e operação, sob a forma de entrega parcelada, quantidades e exigências
estabelecidas neste Edital e seus anexos. </t>
  </si>
  <si>
    <t>REFERENTE AQUISIÇÃO DE MATERIAL ELÉTRICO PARA CAPTAÇÃO, ESTAÇÃO, POÇOS
ARTESIANOS E SISTEMA DE DISTRIBUIÇÃO DO DEPARTAMENTO DE ÁGUA E ESGOTO DE
TUPACIGUARA PARA ATENDER SUAS NECESSIDADES EM 2025, conforme condições e
exigências estabelecidas neste instrumento.</t>
  </si>
  <si>
    <t xml:space="preserve">REGISTRO DE PREÇOS PARA FUTURA E EVENTUAL AQUISIÇÃO DE TRANSMISSORES DE
PRESSÃO
</t>
  </si>
  <si>
    <t>Aquisição de 3 medidores de vazão eletromagnéticos ¾” para controle de água na preparação
de Copolímero à ser dosado no sistema de tratamento de água para consumo humano.</t>
  </si>
  <si>
    <t>Contratação de empresa especializada para o fornecimento de 04 (quatro)
conversores eletrônicos de sinais, para medidores eletromagnéticos de vazão, a serem
utilizados nas adutoras de chegada de água bruta da estação de tratamento de água - ETA,
unidade pertencente à Codau, conforme condições e exigências estabelecidas no Termo de
Referência (anexo II), em atendimento à solicitação da Gerência de Manutenção Eletromecânica e
Automação e Diretoria de Desenvolvimento e Saneamento.</t>
  </si>
  <si>
    <t xml:space="preserve">0 objeto da presente licitação é a AQUISIÇÃO E INSTALAÇÃO DE MACROMEDIDORES PARA
CONTROLE DE PERDAS NO SISTEMA DE ABASTECIMENTO DE AGUA DO MUNICIPIO DE
ITUVERAVA/SP, conforme contrato junto ao Fehidro de n2116/2024. </t>
  </si>
  <si>
    <t>Aquisição de transmissores de pressão e nível por radar e
ultrassom.</t>
  </si>
  <si>
    <t xml:space="preserve">Aquisição de Macromedidores eletromagnéticos de carretel, diâmetros
diversos.
</t>
  </si>
  <si>
    <t>O presente Pregão Eletrônico tem por objeto, o registro de preços para a aquisição
de medidores de vazão eletromagnético sem trecho reto (0dn:0dn) para atender a
demanda do setor de abastecimento de água do município de Canelinha, conforme
especificações e quantidades descritas nos anexos do Edital.</t>
  </si>
  <si>
    <t xml:space="preserve">AQUISIÇÃO DE 02 MEDIDORES MAGNÉTICOS DE VAZÃO
</t>
  </si>
  <si>
    <t>REGISTRO DE PREÇOS PARA MEDIDORES DE VAZÃO</t>
  </si>
  <si>
    <t>O objeto da presente licitação é o registro de preços para aquisição de medidores de vazão, conforme
condições, quantidades e exigências estabelecidas neste Edital e seus Anexos</t>
  </si>
  <si>
    <t>O objeto da presente licitação é a “Contratação de empresa especializada para
Implantação do Projeto de Combate as perdas de água, através da implantação da
macromedição, automação, telemetria e eficiência no Municipio de Iacanga/SP, estando
de acordo com as especificações dos Anexos do presente Edital e ainda de acordo com
Contrato FEHIDRO nº 195/24</t>
  </si>
  <si>
    <t xml:space="preserve">O objeto do presente certame consiste na AQUISIÇÃO DE DIVERSOS QUADROS DE
COMANDO PARA ACIONAMENTO DE BOMBAS DE ELEVATÓRIAS DE ESGOTO E QUADRO GERAL DE
BAIXA TENSÃO conforme condições, exigências técnicas e quantidades estabelecidas neste
documento e seus anexos. </t>
  </si>
  <si>
    <t xml:space="preserve"> O objeto da presente licitação é o REGISTRO DE PREÇOS PARA O FORNECIMENTO PARCELADO
DE TRANSDUTOR DE PRESSÃO, conforme condições, quantidades e exigências estabelecidas no Termo de
Referência, Anexo I deste edital</t>
  </si>
  <si>
    <t>A presente licitação tem por objeto a escolha da proposta mais vantajosa para Contratação de
empresa especializada para a manutenção dos equipamentos de processo (Automação) e
bancada da Estação de Tratamento de Água (ETA) e Estação de Recuperação e Preservação Ambiental (ERPAI), para 12 (doze) meses, conforme especificações, quantidades e condições de
execução constantes do Anexo I - Termo de Referência</t>
  </si>
  <si>
    <t>CALIBRAÇÃO RASTREADA DE ROTÂMETROS (MEDIDOR DE
VAZÃO) IN LOCO.</t>
  </si>
  <si>
    <t>AQUISIÇÃO DE GEOFONES ELETRÔNICOS E MEDIDORES DE VAZÃO COM
SAÍDA DE SISTEMA DE AUTOMAÇÃO</t>
  </si>
  <si>
    <t xml:space="preserve">Registro de Preços para futura aquisição de materiais hidráulicos para
Ampliação da Rede de Adução na Rua Benjamim Constant, DA 25_2842 –
Bairro Escola Agrícola, na cidade de Blumenau/SC, de acordo com projeto
desenvolvido pelo Consorcio MPB-PROSERENCO, com a supervisão e
fiscalização do Departamento Técnico do SAMAE.
</t>
  </si>
  <si>
    <t>PARA REALIZAÇÃO DE REGISTRO DE PREÇO NA MODALIDADE PREGÃO PARA FUTURA E EVENTUAL CONTRATAÇÃO, COM
FORNECIMENTO PARCELADO, DE TUBOS E CONEXÕES PARA USO DOS ENTES CONSORCIADOS AO CONSÓRCIO INTERMUNICIPAL DE
SANEAMENTO AMBIENTAL – CISAM-SUL</t>
  </si>
  <si>
    <t>O objeto desta licitação consiste na CONTRATAÇÃO DE SERVIÇO DE INSTALAÇÃO E FORNECIMENTO DE MEDIDORES
DE VAZÃO ULTRASSÔNICO E MODEM GPRS PARA COMUNICAÇÃO COM SUPERVISÓRIO PARA AS ETES CORONEL
FREITAS, ERVAL VELHO, CATANDUVAS E OURO VERDE de acordo com as especificações contidas nos ANEXO I
(MODELO DE PROPOSTA DETALHADA) e ANEXO II (PROJETO BÁSICO) deste Edital e REGULAMENTAÇÃO DE PREÇOS
E CRITÉRIOS DE MEDIÇÃO disponível no site da CASAN - www.casan.com.br no link “licitações”.</t>
  </si>
  <si>
    <t>O objeto desta licitação é aquisição de transmissores de pressão, conforme
condições, quantidades e exigências estabelecidas neste Edital e no Termo de Referência
(Ordem de Licitação nº 12572/2025 – DA).</t>
  </si>
  <si>
    <t>Aquisição de materiais hidráulicos (tubos e conexões de FoFo e FoFo Ductil, válvula e registros, tampão cone, tubo e
conexões polietileno e medidor de vazão) para Ampliação da Rede de Adução na Rua Prof. Max Humpl – Salto do
Norte, DA_25_2677, na cidade de Blumenau/SC, de acordo com projeto desenvolvido pelo Departamento Técnico
do SAMAE.</t>
  </si>
  <si>
    <t xml:space="preserve"> Contratação de empresa para aquisição de MATERIAIS ELETRICOS, melhor especificado no
ANEXO I.
</t>
  </si>
  <si>
    <t>Constitui objeto da presente licitação o registro de preço para a futura e eventual aquisição DE
HIDRÔMETROS VELOCÍMETROS MULTIJATO E ULTRASSÔNICOS NOVOS E SUAS RESPECTIVAS
CONEXÕES, HIDRÔMETROS RECUPERADOS, CAIXAS PROTETORAS PARA HIDRÔMETRO,
VÁLVULAS DE CORTE, CHAVES DE METAL PARA CORTE, LACRES ANTIFRAUDE E
MACROMEDIDORES,</t>
  </si>
  <si>
    <t>O objeto desta licitação consiste na REGISTRO DE PREÇOS PARA AQUISIÇÃO EVENTUAL DE
MEDIDORES DE VAZÃO ULTRASSÔNICOS FLANGEADOS À BATERIA PARA MEDIÇÃO DE ÁGUA
BRUTA, TRATADA E SETORIZAÇÃO, de acordo com as especificações contidas nos ANEXO I (MODELO
DE PROPOSTA DETALHADA) e ANEXO II (TERMO DE REFERÊNCIA) deste Edital.</t>
  </si>
  <si>
    <t xml:space="preserve">O objeto da licitação é o Registro de Preço para futuras e eventuais Aquisições de
INDICADORES UNIVERSAIS, nas condições estabelecidas neste edital e seus anexos.
</t>
  </si>
  <si>
    <t>AQUISIÇÃO DE MACROMEDIDORES ELETROMAGNÉTICOS TIPO CARRETEL
PARA UTILIZAÇÃO NOS MUNICÍPIOS DA SUPERINTENDENCIA VALE DO RIBEIRA – OR -
DIRETORIA DE OPERAÇÃO E MANUTENÇÃO – O</t>
  </si>
  <si>
    <t>A presente licitação tem por objeto a escolha da proposta mais vantajosa para Contratação de
empresa especializada para a manutenção dos equipamentos de processo (Automação) e
bancada da Estação de Tratamento de Água (ETA) e Estação de Recuperação e Preservação Ambiental (ERPAI), para 12 (doze) meses, conforme especificações, quantidades e condições de
execução constantes do Anexo I - Termo de Referência.</t>
  </si>
  <si>
    <t xml:space="preserve">Contratação de serviço de calibração do medidor de vazão eletromagnético do Laboratório de motores, </t>
  </si>
  <si>
    <t>REGISTRO DE PREÇO PARA AQUISIÇÃO DE MEDIDOR DE VAZÃO E DE NÍVEL, MALETA PARA
MEDIÇÃO E MANÔMETRO</t>
  </si>
  <si>
    <t>Realizar manutenção de equipamentos de medição e registro de pressão e vazão para fins de controle de perdas de água, de forma a assegurar a eficiência e estender a vida útil dos mesmos</t>
  </si>
  <si>
    <t>MANUTENÇÃO DE EQUIPAMENTOS DE MEDIÇÃO E REGISTRO DE PRESSÃO PARA FINS DE CONTROLE DE PERDAS DE ÁGUA</t>
  </si>
  <si>
    <t>QUISIÇÃO DE MEDIDORES DE NÍVEL PARA ATENDER AS DEMANDAS
OPERACIONAIS DA EMBASA, CONFORME PLANEJAMENTO ESTRATÉGICO DE
MATERIAIS DE INVESTIMENTO, ATRAVÉS DO SISTEMA DE REGISTRO DE PREÇO.</t>
  </si>
  <si>
    <t>A presente licitação tem por objeto a escolha da proposta mais vantajosa para Aquisição de
conjunto de bomba in-line, incluindo motores, painéis elétricos e todos os acessórios
necessários para sua operação na elevatória de esgoto do Córrego da Lagoa e transmissores de nível por pressão hidrostática, sob a gestão da SAE Ituiutaba/MG, conforme especificações,
quantidades e condições de entrega constantes do Anexo I - Termo de Referência.</t>
  </si>
  <si>
    <t xml:space="preserve">CONTRATAÇÃO DE EMPRESA TÉCNICA DE ENGENHARIA ESPECIALIZADA EM
INSTRUMENTAÇÃO PARA EXECUÇÃO DE SERVIÇOS DE AVALIAÇÃO DE
MACROMEDIDORES DE VAZÃO DO TIPO ELETROMAGNÉTICOS DE INSERÇÃO
EXISTENTES NAS ADUTORAS DE ÁGUA TRATADA DO SAAE DE INDAIATUBA COM
FORNECIMENTO DE MÃO-DE-OBRA ESPECIALIZADA E MATERIAIS DE CONSUMO
</t>
  </si>
  <si>
    <t>Registro de Preços, pelo prazo de 12 (doze) meses, para aquisições futuras de Sensores de Níveis
dos tipos pressão absoluta e radares eletromagnéticos, para atender as necessidades da Companhia de
Pesquisa de Recursos Minerais - CPRM, conforme as especificações constantes no Termo de Referência –
Anexo I, deste Edital</t>
  </si>
  <si>
    <t xml:space="preserve">O objeto desta licitação é aquisição de mostrador secundário universal para medidor
de vazão eletromagnético, conforme condições, quantidades e exigências estabelecidas
neste Edital e no Termo de Referência (Ordem de Licitação nº 12817/2025 – DA).
</t>
  </si>
  <si>
    <t>O presente edital tem como objeto aquisição de medidores de vazão e indicadores de nível conforme especificações e quantitativos constantes do Anexo II deste Edital.</t>
  </si>
  <si>
    <t>O objeto da presente licitação é a possível aquisção de materiais hidráulicos especiais para pitometria, em 02
lotes, sendo: Lote 1 - acessórios para pitometria e Lote 2 - instrumentos de medição por ultrassom (EXCLUSIVO
PARA ME/EPP), conforme condições e especificações contidas no Termo de Referência</t>
  </si>
  <si>
    <t xml:space="preserve">AQUISIÇÃO DE EQUIPAMENTOS DE INSTRUMENTAÇÃO
(CONFIGURADOR HART, TRANSMISSOR DE PRESSÃO, TRANSMISSOR DE
TEMPERATURA, TRANSMISSOR DE PH, MEDIDOR DE VASÃO
ULTRASSÔNICO, CALIBRADOR DE PRESSÃO, ENTRE OUTROS) PARA AS
UNIDADES DO SENAI-SP </t>
  </si>
  <si>
    <t>Contratação de empresa para aquisição de medidores de vazão do tipo eletromagnético
flangeado e ultrassônico, com a finalidade de garantir o monitoramento eficiente e preciso do
volume de água distribuído nos sistemas de abastecimento de água, em atendimento à Diretoria
Sistema Abastecimento de Água, conforme condições, quantidades e exigências estabelecidas
neste Edital e seus anexos.</t>
  </si>
  <si>
    <t xml:space="preserve">Aquisição de 04 (quatro) medidores de vazão eletromagnéticos flangeados
DN100, 03 (três) medidores de vazão eletromagnéticos flangeados DN150, 02
(dois) medidores de vazão eletromagnéticos flangeados DN250, 03 (três)
medidores de vazão eletromagnéticos de inserção, 05 (cinco) medidores de
vazão ultrassônicos tipo clamp-on e 07 (sete) medidores de vazão para canal aberto, tipo ultrassônico, sob a forma de entrega única, conforme especificações
constantes no Termo de Referência. </t>
  </si>
  <si>
    <t>O objeto da presente licitação é o Registro de Preços para eventual Aquisição de
medidores de vazão do tipo ultrassônico e eletromagnético, conversores de
vazão e demais componentes hidráulicos necessários à sua instalação operação, sob a forma de entrega parcelada, quantidades e exigências
estabelecidas neste Edital e seus anexos.</t>
  </si>
  <si>
    <t>REGISTRO DE PREÇOS PARA AQUISIÇÃO DE TRANSMISSOR DE PRESSÃO MANOMÉTRICA COM
DIÂMETROS DIVERSOS</t>
  </si>
  <si>
    <t xml:space="preserve">Aquisição de Transmissores Ultrassônicos e Tipo Hidrostáticos para medição de nível
e vazão; Controlador Conta-Giro; Central Eletrônica de Monitoramento (CEM); Registrador
de Dados; Megômetro 5KV; Micro-Ohmimetro Digital até 10A; Painel Operador Inteligente;
Optistick Smart Interface, destinados as Estações de Tratamento de Esgoto (ETE’s), Estação
de Tratamento de Água (ETA) e Subestações Elétricas desta CODAU, conforme condições
técnicas exigidas no Termo de Referência (anexo II), em atendimento à solicitação da Gerência
de Esgotamento Sanitário e Diretoria de Desenvolvimento e Saneamento.
</t>
  </si>
  <si>
    <t xml:space="preserve">AQUISIÇÃO DE CONVERSORES PARA MEDIDORES DE VAZÃO
ELETROMAGNÉTICO
</t>
  </si>
  <si>
    <t>REGISTRO DE PREÇOS PARA FUTURA E EVENTUAL AQUISIÇÃO DE MEDIDORES DE VAZÃO PARA ÁGUA
TRATADA, ESGOTO SANITÁRIO E PRODUTOS QUÍMICOS</t>
  </si>
  <si>
    <t>Aquisição de Ferramentas e Equipamentos
para atender as necessidades do SAAE -
Serviço autônomo de Água e Esgoto de
Mariana</t>
  </si>
  <si>
    <t>O objeto da licitação é o Registro de Preço para futuras e eventuais aquisições de
MACROMEDIDORES, nas condições estabelecidas neste edital e seus anexos.</t>
  </si>
  <si>
    <t>Contratação de empresa especializada para prestação de Serviços de Calibração de Medidores Vazão,
incluindo a emissão de Certificados Rastreáveis RBC, para os macromedidores de vazão instalados nas Estações de
Tratamento de Esgoto e nas Estações Elevatórias de Esgoto da Sanebavi.</t>
  </si>
  <si>
    <t>Aquisição de Conversor Universal para Medidores de vazão Eletromagnéticos para a CESAMA</t>
  </si>
  <si>
    <t>O objeto da presente licitação é o REGISTRO DE PREÇOS DE INSTRUMENTOS
DE MEDIÇÃO DE PRESSÃO, NÍVEL E VAZÃO PARA UNIDADES AUTOMATIZADAS DA
SAEC COM RESERVA DE COTA PARA MICROEMPRESA-ME, EMPRESA DE
PEQUENO PORTE-EPP, INCLUSIVE MICROEMPREENDEDOR INDIVIDUAL, conforme
condições, quantidades e exigências estabelecidas no Termo de Referência, Anexo IV deste
edital.</t>
  </si>
  <si>
    <t xml:space="preserve">Aquisição de medidores diafragma para rede de distribuição de
gás natural da SERGAS, conforme especificações técnicas
detalhadas constantes deste edital e seus anexos.
</t>
  </si>
  <si>
    <t>O objeto da licitação é o Registro de Preço para futuras e eventuais Aquisições de
TRANSMISSORES DE PRESSÃO DIFERENCIAL, nas condições estabelecidas neste edital e
seus anexos.</t>
  </si>
  <si>
    <t>AQUISIÇÃO DE TRANSMISSORES DE PRESSÃO DIFERENCIAL E TOTALIZADORES, NO
SISTEMA DE REGISTRO DE PREÇO.</t>
  </si>
  <si>
    <t>REGISTRO DE PREÇOS
PARA FUTURA E EVENTUAL AQUISIÇÃO DE MEDIDORES DE VAZÃO PARA ÁGUA TRATADA, ESGOTO
SANITÁRIO E PRODUTOS QUÍMICOS</t>
  </si>
  <si>
    <t>Registro de Preços para aquisições futuras de Sensores de Níveis dos tipos pressão absoluta e radares
eletromagnéticos, para atender as necessidades da Companhia de Pesquisa de Recursos Minerais - CPRM, conforme
as especificações constantes no Termo de Referência – Anexo I, deste Edital</t>
  </si>
  <si>
    <t>CALIBRAÇÃO E TRANSPORTE DE MEDIDORES ULTRASSôNICO DA
TBG.</t>
  </si>
  <si>
    <t>Contratação de fornecimento, instalação e certificação de sistemas de medição de vazão e telemetria de
projetos públicos de irrigação com captação em corpos hídricos da União, conforme a Resolução ANA nº
188/2024 – Automonitoramento, nos estados de Alagoas e Sergipe.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</si>
</sst>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readingOrder="0" vertical="center"/>
    </xf>
    <xf borderId="0" fillId="0" fontId="1" numFmtId="0" xfId="0" applyAlignment="1" applyFont="1">
      <alignment horizontal="left" readingOrder="0" shrinkToFit="0" vertical="top"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63"/>
    <col customWidth="1" min="2" max="2" width="145.0"/>
  </cols>
  <sheetData>
    <row r="1">
      <c r="A1" s="1" t="s">
        <v>0</v>
      </c>
      <c r="B1" s="1" t="s">
        <v>1</v>
      </c>
      <c r="C1" s="2" t="s">
        <v>2</v>
      </c>
    </row>
    <row r="2">
      <c r="A2" s="3" t="s">
        <v>3</v>
      </c>
      <c r="B2" s="4" t="str">
        <f>IFERROR(__xludf.DUMMYFUNCTION("TRIM(REGEXREPLACE(A2, ""\s+"", "" ""))"),"Registro de Preço para contratação de empresa especializada para o fornecimento futuro e eventual de produtos químicos, reagentes químicos, materiais de laboratório, aparelhos para análise de água, equipamentos de proteção individual e serviços de coleta "&amp;"e análise de água bruta, conforme a Portaria do CONAMA nº357/2005, água tratada e distribuição conforme a Portaria GM/MS nº888/2021 e esgoto bruto e tratado conforme a Portaria do CONAMA nº430/2011.")</f>
        <v>Registro de Preço para contratação de empresa especializada para o fornecimento futuro e eventual de produtos químicos, reagentes químicos, materiais de laboratório, aparelhos para análise de água, equipamentos de proteção individual e serviços de coleta e análise de água bruta, conforme a Portaria do CONAMA nº357/2005, água tratada e distribuição conforme a Portaria GM/MS nº888/2021 e esgoto bruto e tratado conforme a Portaria do CONAMA nº430/2011.</v>
      </c>
      <c r="C2" s="2">
        <v>1.0</v>
      </c>
    </row>
    <row r="3">
      <c r="A3" s="3" t="s">
        <v>4</v>
      </c>
      <c r="B3" s="4" t="str">
        <f>IFERROR(__xludf.DUMMYFUNCTION("TRIM(REGEXREPLACE(A3, ""\s+"", "" ""))"),"Fornecimento de Instrumentos de medição, posto CIF na Unidade de Concentração de UrânioURA, em Caetité/BA, conforme condições, quantidades e características estabelecidas no Termo de Referência")</f>
        <v>Fornecimento de Instrumentos de medição, posto CIF na Unidade de Concentração de UrânioURA, em Caetité/BA, conforme condições, quantidades e características estabelecidas no Termo de Referência</v>
      </c>
      <c r="C3" s="2">
        <v>1.0</v>
      </c>
    </row>
    <row r="4">
      <c r="A4" s="3" t="s">
        <v>5</v>
      </c>
      <c r="B4" s="4" t="str">
        <f>IFERROR(__xludf.DUMMYFUNCTION("TRIM(REGEXREPLACE(A4, ""\s+"", "" ""))"),"AQUISIÇÃO DE TRANSMISSORES HIDROSTÁTICOS E MONITORES DE PRESSÃO, CONFORME QUANTIDADES, CARACTERÍSTICAS E CONDIÇÕES CONSTANTES NO TERMO DE REFERÊNCIA DESTE EDITAL.")</f>
        <v>AQUISIÇÃO DE TRANSMISSORES HIDROSTÁTICOS E MONITORES DE PRESSÃO, CONFORME QUANTIDADES, CARACTERÍSTICAS E CONDIÇÕES CONSTANTES NO TERMO DE REFERÊNCIA DESTE EDITAL.</v>
      </c>
      <c r="C4" s="2">
        <v>1.0</v>
      </c>
    </row>
    <row r="5">
      <c r="A5" s="3" t="s">
        <v>6</v>
      </c>
      <c r="B5" s="4" t="str">
        <f>IFERROR(__xludf.DUMMYFUNCTION("TRIM(REGEXREPLACE(A5, ""\s+"", "" ""))"),"AQUISIÇÃO E INSTALAÇÃO DE MACROMEDIDOR E CONEXÕES NA SAÍDA DOS RESERVATÓRIOS EM ANEXO A ESTAÇÃO DE TRATAMENTO DE ÁGUA")</f>
        <v>AQUISIÇÃO E INSTALAÇÃO DE MACROMEDIDOR E CONEXÕES NA SAÍDA DOS RESERVATÓRIOS EM ANEXO A ESTAÇÃO DE TRATAMENTO DE ÁGUA</v>
      </c>
      <c r="C5" s="2">
        <v>1.0</v>
      </c>
    </row>
    <row r="6">
      <c r="A6" s="3" t="s">
        <v>7</v>
      </c>
      <c r="B6" s="4" t="str">
        <f>IFERROR(__xludf.DUMMYFUNCTION("TRIM(REGEXREPLACE(A6, ""\s+"", "" ""))"),"CONTRATAÇÃO DE EMPRESA PARA MANUTENÇÃO E CALIBRAÇÃO DE MACROMEDIDORES DE VAZÃO E TOTALIZAÇÃO")</f>
        <v>CONTRATAÇÃO DE EMPRESA PARA MANUTENÇÃO E CALIBRAÇÃO DE MACROMEDIDORES DE VAZÃO E TOTALIZAÇÃO</v>
      </c>
      <c r="C6" s="2">
        <v>1.0</v>
      </c>
    </row>
    <row r="7">
      <c r="A7" s="3" t="s">
        <v>8</v>
      </c>
      <c r="B7" s="4" t="str">
        <f>IFERROR(__xludf.DUMMYFUNCTION("TRIM(REGEXREPLACE(A7, ""\s+"", "" ""))"),"A presente licitação tem por objeto a aquisição de materiais e componentes elétricos para atendimento das demandas da Autarquia, visando a continuidade dos serviços prestados no município de Votuporanga-SP, nos termos da tabela abaixo, conforme condições "&amp;"e exigências estabelecidas neste instrumento e seus anexos.")</f>
        <v>A presente licitação tem por objeto a aquisição de materiais e componentes elétricos para atendimento das demandas da Autarquia, visando a continuidade dos serviços prestados no município de Votuporanga-SP, nos termos da tabela abaixo, conforme condições e exigências estabelecidas neste instrumento e seus anexos.</v>
      </c>
      <c r="C7" s="2">
        <v>1.0</v>
      </c>
    </row>
    <row r="8">
      <c r="A8" s="3" t="s">
        <v>9</v>
      </c>
      <c r="B8" s="4" t="str">
        <f>IFERROR(__xludf.DUMMYFUNCTION("TRIM(REGEXREPLACE(A8, ""\s+"", "" ""))"),"AQUISIÇÃO DE BENS DA(S) FAMÍLIA(S): 0405-EQUIPAMENTOS/COMPONENTES/ACESSÓRIOS P/MEDIÇÃO - SENSOR DE NÍVEL D'ÁGUA - CAPACITIVO CERÂMICO DE PRESSÃO ABSOLUTA")</f>
        <v>AQUISIÇÃO DE BENS DA(S) FAMÍLIA(S): 0405-EQUIPAMENTOS/COMPONENTES/ACESSÓRIOS P/MEDIÇÃO - SENSOR DE NÍVEL D'ÁGUA - CAPACITIVO CERÂMICO DE PRESSÃO ABSOLUTA</v>
      </c>
      <c r="C8" s="2">
        <v>1.0</v>
      </c>
    </row>
    <row r="9">
      <c r="A9" s="3" t="s">
        <v>10</v>
      </c>
      <c r="B9" s="4" t="str">
        <f>IFERROR(__xludf.DUMMYFUNCTION("TRIM(REGEXREPLACE(A9, ""\s+"", "" ""))"),"AQUISIÇÃO DE APARELHOS DE MEDIÇÃO E ORIENTAÇÃO PARA ATENDER DEMANDAS DA UFRN PELO PERÍODO DE 12 (DOZE) MESES")</f>
        <v>AQUISIÇÃO DE APARELHOS DE MEDIÇÃO E ORIENTAÇÃO PARA ATENDER DEMANDAS DA UFRN PELO PERÍODO DE 12 (DOZE) MESES</v>
      </c>
      <c r="C9" s="2">
        <v>1.0</v>
      </c>
    </row>
    <row r="10">
      <c r="A10" s="3" t="s">
        <v>11</v>
      </c>
      <c r="B10" s="4" t="str">
        <f>IFERROR(__xludf.DUMMYFUNCTION("TRIM(REGEXREPLACE(A10, ""\s+"", "" ""))"),"AQUISIÇÃO E INSTALAÇÃO DE MACROMEDIDORES PARA CONTROLE DE PERDAS NO SISTEMA DE ABASTECIMENTO DE AGUA DO MUNICIPIO DE ITUVERAVA/SP, conforme contrato junto ao Fehidro de n.º 116/2024")</f>
        <v>AQUISIÇÃO E INSTALAÇÃO DE MACROMEDIDORES PARA CONTROLE DE PERDAS NO SISTEMA DE ABASTECIMENTO DE AGUA DO MUNICIPIO DE ITUVERAVA/SP, conforme contrato junto ao Fehidro de n.º 116/2024</v>
      </c>
      <c r="C10" s="2">
        <v>1.0</v>
      </c>
    </row>
    <row r="11">
      <c r="A11" s="3" t="s">
        <v>12</v>
      </c>
      <c r="B11" s="4" t="str">
        <f>IFERROR(__xludf.DUMMYFUNCTION("TRIM(REGEXREPLACE(A11, ""\s+"", "" ""))"),"Aquisição de equipamentos para as estações de tratamento de água do Serviço Autônomo de Água e Esgoto de Itajuípe – BA.")</f>
        <v>Aquisição de equipamentos para as estações de tratamento de água do Serviço Autônomo de Água e Esgoto de Itajuípe – BA.</v>
      </c>
      <c r="C11" s="2">
        <v>1.0</v>
      </c>
    </row>
    <row r="12">
      <c r="A12" s="3" t="s">
        <v>13</v>
      </c>
      <c r="B12" s="4" t="str">
        <f>IFERROR(__xludf.DUMMYFUNCTION("TRIM(REGEXREPLACE(A12, ""\s+"", "" ""))"),"Serviços de comissionamento de medidores de vazão de vapor, conforme Termo de Referência")</f>
        <v>Serviços de comissionamento de medidores de vazão de vapor, conforme Termo de Referência</v>
      </c>
      <c r="C12" s="2">
        <v>1.0</v>
      </c>
    </row>
    <row r="13">
      <c r="A13" s="3" t="s">
        <v>14</v>
      </c>
      <c r="B13" s="4" t="str">
        <f>IFERROR(__xludf.DUMMYFUNCTION("TRIM(REGEXREPLACE(A13, ""\s+"", "" ""))"),"REGISTRO DE PREÇOS PARA FUTURA E EVENTUAL AQUISIÇÃO DE MEDIDORES DE VAZÃO")</f>
        <v>REGISTRO DE PREÇOS PARA FUTURA E EVENTUAL AQUISIÇÃO DE MEDIDORES DE VAZÃO</v>
      </c>
      <c r="C13" s="2">
        <v>1.0</v>
      </c>
    </row>
    <row r="14">
      <c r="A14" s="3" t="s">
        <v>15</v>
      </c>
      <c r="B14" s="4" t="str">
        <f>IFERROR(__xludf.DUMMYFUNCTION("TRIM(REGEXREPLACE(A14, ""\s+"", "" ""))"),"Constitui o objeto do presente Procedimento de Licitação da Epagri a aquisição de medidores acústicos de vazão para a Epagri – Centro de Informações de Recursos Ambientais e de Hidrometeorologia de Santa Catarina - CIRAM, conforme quantitativos e especifi"&amp;"cações constantes nos ANEXOS I e II deste edital")</f>
        <v>Constitui o objeto do presente Procedimento de Licitação da Epagri a aquisição de medidores acústicos de vazão para a Epagri – Centro de Informações de Recursos Ambientais e de Hidrometeorologia de Santa Catarina - CIRAM, conforme quantitativos e especificações constantes nos ANEXOS I e II deste edital</v>
      </c>
      <c r="C14" s="2">
        <v>1.0</v>
      </c>
    </row>
    <row r="15">
      <c r="A15" s="3" t="s">
        <v>16</v>
      </c>
      <c r="B15" s="4" t="str">
        <f>IFERROR(__xludf.DUMMYFUNCTION("TRIM(REGEXREPLACE(A15, ""\s+"", "" ""))"),"AQUISIÇÃO E INSTALAÇÃO DE MEDIDORES DE VAZÃO ULTRASSÔNICO TIPO CANAL ABERTO CONVERSOR REMOTO PARA A MEDIÇÃO, AFERIÇÃO E MONITORAMENTO DA VAZÃO DOS EFLUENTES DA ESTAÇÃO DE TRATAMENTO DE ESGOTO")</f>
        <v>AQUISIÇÃO E INSTALAÇÃO DE MEDIDORES DE VAZÃO ULTRASSÔNICO TIPO CANAL ABERTO CONVERSOR REMOTO PARA A MEDIÇÃO, AFERIÇÃO E MONITORAMENTO DA VAZÃO DOS EFLUENTES DA ESTAÇÃO DE TRATAMENTO DE ESGOTO</v>
      </c>
      <c r="C15" s="2">
        <v>1.0</v>
      </c>
    </row>
    <row r="16">
      <c r="A16" s="3" t="s">
        <v>17</v>
      </c>
      <c r="B16" s="4" t="str">
        <f>IFERROR(__xludf.DUMMYFUNCTION("TRIM(REGEXREPLACE(A16, ""\s+"", "" ""))"),"INSTALAÇÃO DE MACROMEDIDORES ULTRASSÔNICOS CARRETEL NO SAA DE GUARATINGUETÁ, COM FORNECIMENTO DE MATERIAIS, SERVIÇOS DE INSTALAÇÃO, START UP E CONSTRUÇÃO CIVIL (CAIXA)")</f>
        <v>INSTALAÇÃO DE MACROMEDIDORES ULTRASSÔNICOS CARRETEL NO SAA DE GUARATINGUETÁ, COM FORNECIMENTO DE MATERIAIS, SERVIÇOS DE INSTALAÇÃO, START UP E CONSTRUÇÃO CIVIL (CAIXA)</v>
      </c>
      <c r="C16" s="2">
        <v>1.0</v>
      </c>
    </row>
    <row r="17">
      <c r="A17" s="3" t="s">
        <v>18</v>
      </c>
      <c r="B17" s="4" t="str">
        <f>IFERROR(__xludf.DUMMYFUNCTION("TRIM(REGEXREPLACE(A17, ""\s+"", "" ""))"),"O objetivo desta licitação é selecionar, dentre as policitantes que se apresentarem, a proposta considerada mais vantajosa, de acordo com os critérios estabelecidos no presente Edital, para a aquisição de Medidor de vazão de água ultrassônicos não intrusi"&amp;"vos CLAMP-ON, organizado em ITEM, destinado ao planejamento de hidrometria 2025 da Copasa, conforme os documentos “Relação de Materiais”, “Termo de Referência” e anexos, integrantes deste instrumento convocatório.")</f>
        <v>O objetivo desta licitação é selecionar, dentre as policitantes que se apresentarem, a proposta considerada mais vantajosa, de acordo com os critérios estabelecidos no presente Edital, para a aquisição de Medidor de vazão de água ultrassônicos não intrusivos CLAMP-ON, organizado em ITEM, destinado ao planejamento de hidrometria 2025 da Copasa, conforme os documentos “Relação de Materiais”, “Termo de Referência” e anexos, integrantes deste instrumento convocatório.</v>
      </c>
      <c r="C17" s="2">
        <v>1.0</v>
      </c>
    </row>
    <row r="18">
      <c r="A18" s="3" t="s">
        <v>19</v>
      </c>
      <c r="B18" s="4" t="str">
        <f>IFERROR(__xludf.DUMMYFUNCTION("TRIM(REGEXREPLACE(A18, ""\s+"", "" ""))"),"Contratação de serviços de calibração, certificação e/ou qualificação em instrumentos/equipamentos empregados em produção e/ou análise de medicamentos")</f>
        <v>Contratação de serviços de calibração, certificação e/ou qualificação em instrumentos/equipamentos empregados em produção e/ou análise de medicamentos</v>
      </c>
      <c r="C18" s="2">
        <v>1.0</v>
      </c>
    </row>
    <row r="19">
      <c r="A19" s="3" t="s">
        <v>20</v>
      </c>
      <c r="B19" s="4" t="str">
        <f>IFERROR(__xludf.DUMMYFUNCTION("TRIM(REGEXREPLACE(A19, ""\s+"", "" ""))"),"Registro de Preços para aquisição de hidrômetros e macro medidores para os consorciados do CISPAR.")</f>
        <v>Registro de Preços para aquisição de hidrômetros e macro medidores para os consorciados do CISPAR.</v>
      </c>
      <c r="C19" s="2">
        <v>1.0</v>
      </c>
    </row>
    <row r="20">
      <c r="A20" s="3" t="s">
        <v>21</v>
      </c>
      <c r="B20" s="4" t="str">
        <f>IFERROR(__xludf.DUMMYFUNCTION("TRIM(REGEXREPLACE(A20, ""\s+"", "" ""))"),"O presente Pregão Eletrônico tem por objeto, o registro de preços para a aquisição de medidor de vazão eletromagnético para atender a demanda do setor de abastecimento de água do Semais no município canelinha, conforme especificações e quantidades descrit"&amp;"as nos anexos do Edital.")</f>
        <v>O presente Pregão Eletrônico tem por objeto, o registro de preços para a aquisição de medidor de vazão eletromagnético para atender a demanda do setor de abastecimento de água do Semais no município canelinha, conforme especificações e quantidades descritas nos anexos do Edital.</v>
      </c>
      <c r="C20" s="2">
        <v>1.0</v>
      </c>
    </row>
    <row r="21">
      <c r="A21" s="3" t="s">
        <v>22</v>
      </c>
      <c r="B21" s="4" t="str">
        <f>IFERROR(__xludf.DUMMYFUNCTION("TRIM(REGEXREPLACE(A21, ""\s+"", "" ""))"),"Contratação de serviço de calibração do medidor de vazão eletromagnético do Laboratório de motores")</f>
        <v>Contratação de serviço de calibração do medidor de vazão eletromagnético do Laboratório de motores</v>
      </c>
      <c r="C21" s="2">
        <v>1.0</v>
      </c>
    </row>
    <row r="22">
      <c r="A22" s="3" t="s">
        <v>23</v>
      </c>
      <c r="B22" s="4" t="str">
        <f>IFERROR(__xludf.DUMMYFUNCTION("TRIM(REGEXREPLACE(A22, ""\s+"", "" ""))"),"Contratação dos serviços de manutenção e ensaio de medidores de vazão do tipo rotativo, turbina e ultrassônico da Rede de Distribuição de Gás Natural da ALGÁS.")</f>
        <v>Contratação dos serviços de manutenção e ensaio de medidores de vazão do tipo rotativo, turbina e ultrassônico da Rede de Distribuição de Gás Natural da ALGÁS.</v>
      </c>
      <c r="C22" s="2">
        <v>1.0</v>
      </c>
    </row>
    <row r="23">
      <c r="A23" s="3" t="s">
        <v>24</v>
      </c>
      <c r="B23" s="4" t="str">
        <f>IFERROR(__xludf.DUMMYFUNCTION("TRIM(REGEXREPLACE(A23, ""\s+"", "" ""))"),"O objeto da presente licitação é a Contratação de empresa especializada para serviços de manutenção corretiva em 13 macromedidores de vazão ultrassônicos R500, conforme condições, quantidades e exigências estabelecidas no Termo de Referência, Anexo 2 dest"&amp;"e edital")</f>
        <v>O objeto da presente licitação é a Contratação de empresa especializada para serviços de manutenção corretiva em 13 macromedidores de vazão ultrassônicos R500, conforme condições, quantidades e exigências estabelecidas no Termo de Referência, Anexo 2 deste edital</v>
      </c>
      <c r="C23" s="2">
        <v>1.0</v>
      </c>
    </row>
    <row r="24">
      <c r="A24" s="3" t="s">
        <v>25</v>
      </c>
      <c r="B24" s="4" t="str">
        <f>IFERROR(__xludf.DUMMYFUNCTION("TRIM(REGEXREPLACE(A24, ""\s+"", "" ""))"),"AQUISIÇÃO DE MATERIAIS E EQUIPAMENTOS DIVERSOS (FLOCULADORES MECÂNICOS, PLACA EM FIBRA DE VIDRO, CARVÃO ANTRACITOSO E MACROMEDIDOR ELETROMAGNÉTICO), A SEREM APLICADOS NAS OBRAS DE AMPLIAÇÃO DO SISTEMA DE ABASTECIMENTO DE ÁGUA DOS MUNICÍPIOS DE CERES E RIA"&amp;"LMA, NESTE ESTADO DE GOIÁS, SANEAMENTO DE GOIÁS S.A.")</f>
        <v>AQUISIÇÃO DE MATERIAIS E EQUIPAMENTOS DIVERSOS (FLOCULADORES MECÂNICOS, PLACA EM FIBRA DE VIDRO, CARVÃO ANTRACITOSO E MACROMEDIDOR ELETROMAGNÉTICO), A SEREM APLICADOS NAS OBRAS DE AMPLIAÇÃO DO SISTEMA DE ABASTECIMENTO DE ÁGUA DOS MUNICÍPIOS DE CERES E RIALMA, NESTE ESTADO DE GOIÁS, SANEAMENTO DE GOIÁS S.A.</v>
      </c>
      <c r="C24" s="2">
        <v>1.0</v>
      </c>
    </row>
    <row r="25">
      <c r="A25" s="3" t="s">
        <v>26</v>
      </c>
      <c r="B25" s="4" t="str">
        <f>IFERROR(__xludf.DUMMYFUNCTION("TRIM(REGEXREPLACE(A25, ""\s+"", "" ""))"),"Aquisição de material hidráulico e elétrico para execução da interligação do poço com os reservatórios existentes na sede do DAEP.")</f>
        <v>Aquisição de material hidráulico e elétrico para execução da interligação do poço com os reservatórios existentes na sede do DAEP.</v>
      </c>
      <c r="C25" s="2">
        <v>1.0</v>
      </c>
    </row>
    <row r="26">
      <c r="A26" s="3" t="s">
        <v>27</v>
      </c>
      <c r="B26" s="4" t="str">
        <f>IFERROR(__xludf.DUMMYFUNCTION("TRIM(REGEXREPLACE(A26, ""\s+"", "" ""))"),"Contratação de empresa especializada para prestação de serviços de instalação e aquisição de medidores de vazão eletromagnéticos, tipo carretel, para monitoramento/ aferição de volume captado de água bruta, água tratada e distribuída para todos os reserva"&amp;"tórios/ bairros do município de Iracemápolis/ SP")</f>
        <v>Contratação de empresa especializada para prestação de serviços de instalação e aquisição de medidores de vazão eletromagnéticos, tipo carretel, para monitoramento/ aferição de volume captado de água bruta, água tratada e distribuída para todos os reservatórios/ bairros do município de Iracemápolis/ SP</v>
      </c>
      <c r="C26" s="2">
        <v>1.0</v>
      </c>
    </row>
    <row r="27">
      <c r="A27" s="3" t="s">
        <v>28</v>
      </c>
      <c r="B27" s="4" t="str">
        <f>IFERROR(__xludf.DUMMYFUNCTION("TRIM(REGEXREPLACE(A27, ""\s+"", "" ""))"),"Contratação de empresa especializada para pesquisa de vazamentos não visíveis e reparo de vazamentos de água, na macrorregião da Vila Nery e implantação de macro medidores no município de São Carlos – SP (Contrato FEHIDRO 086/2024), tudo em conformidade c"&amp;"om as especificações contidas nos Anexos deste Edital.")</f>
        <v>Contratação de empresa especializada para pesquisa de vazamentos não visíveis e reparo de vazamentos de água, na macrorregião da Vila Nery e implantação de macro medidores no município de São Carlos – SP (Contrato FEHIDRO 086/2024), tudo em conformidade com as especificações contidas nos Anexos deste Edital.</v>
      </c>
      <c r="C27" s="2">
        <v>1.0</v>
      </c>
    </row>
    <row r="28">
      <c r="A28" s="3" t="s">
        <v>29</v>
      </c>
      <c r="B28" s="4" t="str">
        <f>IFERROR(__xludf.DUMMYFUNCTION("TRIM(REGEXREPLACE(A28, ""\s+"", "" ""))"),"A presente licitação tem como objeto a formação de ATA DE REGISTRO DE PREÇOS para eventual CONTRATAÇÃO DE EMPRESA PARA AQUISIÇÃO DE MEDIDORES DE VAZÃO, conforme especificações e quantitativos previstos no Termo de Referência (Anexo II), visando atender às"&amp;" demandas desta Autarquia")</f>
        <v>A presente licitação tem como objeto a formação de ATA DE REGISTRO DE PREÇOS para eventual CONTRATAÇÃO DE EMPRESA PARA AQUISIÇÃO DE MEDIDORES DE VAZÃO, conforme especificações e quantitativos previstos no Termo de Referência (Anexo II), visando atender às demandas desta Autarquia</v>
      </c>
      <c r="C28" s="2">
        <v>1.0</v>
      </c>
    </row>
    <row r="29">
      <c r="A29" s="3" t="s">
        <v>19</v>
      </c>
      <c r="B29" s="4" t="str">
        <f>IFERROR(__xludf.DUMMYFUNCTION("TRIM(REGEXREPLACE(A29, ""\s+"", "" ""))"),"Contratação de serviços de calibração, certificação e/ou qualificação em instrumentos/equipamentos empregados em produção e/ou análise de medicamentos")</f>
        <v>Contratação de serviços de calibração, certificação e/ou qualificação em instrumentos/equipamentos empregados em produção e/ou análise de medicamentos</v>
      </c>
      <c r="C29" s="2">
        <v>1.0</v>
      </c>
    </row>
    <row r="30">
      <c r="A30" s="3" t="s">
        <v>30</v>
      </c>
      <c r="B30" s="4" t="str">
        <f>IFERROR(__xludf.DUMMYFUNCTION("TRIM(REGEXREPLACE(A30, ""\s+"", "" ""))"),"O objeto da presente licitação consiste na aquisição de transmissores de nível e/ou vazão em canal aberto (Calha Parshall) com princípio de medição por radar, de acordo com as quantidades, especificações e obrigações constantes dos Anexos a seguir relacio"&amp;"nados que são partes integrantes deste Edital e bem como as demais condições deste instrumento convocatório.")</f>
        <v>O objeto da presente licitação consiste na aquisição de transmissores de nível e/ou vazão em canal aberto (Calha Parshall) com princípio de medição por radar, de acordo com as quantidades, especificações e obrigações constantes dos Anexos a seguir relacionados que são partes integrantes deste Edital e bem como as demais condições deste instrumento convocatório.</v>
      </c>
      <c r="C30" s="2">
        <v>1.0</v>
      </c>
    </row>
    <row r="31">
      <c r="A31" s="3" t="s">
        <v>31</v>
      </c>
      <c r="B31" s="4" t="str">
        <f>IFERROR(__xludf.DUMMYFUNCTION("TRIM(REGEXREPLACE(A31, ""\s+"", "" ""))"),"Constitui o objeto do presente Pregão a Fornecimento de Macromedidores Ultrassônicos Portáteis para aplicação/instalação no âmbito das Gerências Regionais, para atender às necessidades da Companhia de Água e Esgotos da Paraíba - CAGEPA, conforme condições"&amp;", quantidades e exigências estabelecidas neste Edital, Termo de Referência e demais anexos")</f>
        <v>Constitui o objeto do presente Pregão a Fornecimento de Macromedidores Ultrassônicos Portáteis para aplicação/instalação no âmbito das Gerências Regionais, para atender às necessidades da Companhia de Água e Esgotos da Paraíba - CAGEPA, conforme condições, quantidades e exigências estabelecidas neste Edital, Termo de Referência e demais anexos</v>
      </c>
      <c r="C31" s="2">
        <v>1.0</v>
      </c>
    </row>
    <row r="32">
      <c r="A32" s="3" t="s">
        <v>32</v>
      </c>
      <c r="B32" s="4" t="str">
        <f>IFERROR(__xludf.DUMMYFUNCTION("TRIM(REGEXREPLACE(A32, ""\s+"", "" ""))"),"REGISTRO DE PREÇO PARA AQUISIÇÃO DE MEDIDOR DE VAZÃO, MEDIDOR DE NÍVEL E TRANSMISSOR DE NÍVEL.")</f>
        <v>REGISTRO DE PREÇO PARA AQUISIÇÃO DE MEDIDOR DE VAZÃO, MEDIDOR DE NÍVEL E TRANSMISSOR DE NÍVEL.</v>
      </c>
      <c r="C32" s="2">
        <v>1.0</v>
      </c>
    </row>
    <row r="33">
      <c r="A33" s="3" t="s">
        <v>33</v>
      </c>
      <c r="B33" s="4" t="str">
        <f>IFERROR(__xludf.DUMMYFUNCTION("TRIM(REGEXREPLACE(A33, ""\s+"", "" ""))"),"O presente Pregão Eletrônico tem por objeto a aquisição de medidores de vazão diafragma para clientes previstos até 2027, constantes neste Edital e seus Anexos")</f>
        <v>O presente Pregão Eletrônico tem por objeto a aquisição de medidores de vazão diafragma para clientes previstos até 2027, constantes neste Edital e seus Anexos</v>
      </c>
      <c r="C33" s="2">
        <v>1.0</v>
      </c>
    </row>
    <row r="34">
      <c r="A34" s="3" t="s">
        <v>19</v>
      </c>
      <c r="B34" s="4" t="str">
        <f>IFERROR(__xludf.DUMMYFUNCTION("TRIM(REGEXREPLACE(A34, ""\s+"", "" ""))"),"Contratação de serviços de calibração, certificação e/ou qualificação em instrumentos/equipamentos empregados em produção e/ou análise de medicamentos")</f>
        <v>Contratação de serviços de calibração, certificação e/ou qualificação em instrumentos/equipamentos empregados em produção e/ou análise de medicamentos</v>
      </c>
      <c r="C34" s="2">
        <v>1.0</v>
      </c>
    </row>
    <row r="35">
      <c r="A35" s="3" t="s">
        <v>34</v>
      </c>
      <c r="B35" s="4" t="str">
        <f>IFERROR(__xludf.DUMMYFUNCTION("TRIM(REGEXREPLACE(A35, ""\s+"", "" ""))"),"AQUISIÇÃO DE MATERIAIS E EQUIPAMENTOS, A SEREM UTILIZADOS NA ESTAÇÃO DE TRATAMENTO DE ESGOTO (ETE), EM ATENDIMENTO À SECRETARIA MUNICIPAL DE OBRAS E TRÂNSITO.")</f>
        <v>AQUISIÇÃO DE MATERIAIS E EQUIPAMENTOS, A SEREM UTILIZADOS NA ESTAÇÃO DE TRATAMENTO DE ESGOTO (ETE), EM ATENDIMENTO À SECRETARIA MUNICIPAL DE OBRAS E TRÂNSITO.</v>
      </c>
      <c r="C35" s="2">
        <v>1.0</v>
      </c>
    </row>
    <row r="36">
      <c r="A36" s="3" t="s">
        <v>35</v>
      </c>
      <c r="B36" s="4" t="str">
        <f>IFERROR(__xludf.DUMMYFUNCTION("TRIM(REGEXREPLACE(A36, ""\s+"", "" ""))"),"O objetivo desta licitação é selecionar, dentre as policitantes que se apresentarem, a proposta considerada mais vantajosa, de acordo com os critérios estabelecidos no presente Edital, para a aquisição de medidores ultrassônicos, organizados em ITENS, des"&amp;"tinados ao planejamento de hidrometria 2025 da Copasa, conforme os documentos “Relação de Materiais”, “Termo de Referência” e anexos, integrantes deste instrumento convocatório.")</f>
        <v>O objetivo desta licitação é selecionar, dentre as policitantes que se apresentarem, a proposta considerada mais vantajosa, de acordo com os critérios estabelecidos no presente Edital, para a aquisição de medidores ultrassônicos, organizados em ITENS, destinados ao planejamento de hidrometria 2025 da Copasa, conforme os documentos “Relação de Materiais”, “Termo de Referência” e anexos, integrantes deste instrumento convocatório.</v>
      </c>
      <c r="C36" s="2">
        <v>1.0</v>
      </c>
    </row>
    <row r="37">
      <c r="A37" s="3" t="s">
        <v>36</v>
      </c>
      <c r="B37" s="4" t="str">
        <f>IFERROR(__xludf.DUMMYFUNCTION("TRIM(REGEXREPLACE(A37, ""\s+"", "" ""))"),"O objetivo desta licitação é selecionar, dentre as policitantes que se apresentarem, a proposta considerada mais vantajosa, de acordo com os critérios estabelecidos no presente Edital, para a aquisição de medidores de vazão eletromagnéticos à energia, org"&amp;"anizados em ITENS, destinados ao planejamento de hidrometria 2025 da Copasa, conforme os documentos “Relação de Materiais”, “Termo de Referência” e anexos, integrantes deste instrumento convocatório.")</f>
        <v>O objetivo desta licitação é selecionar, dentre as policitantes que se apresentarem, a proposta considerada mais vantajosa, de acordo com os critérios estabelecidos no presente Edital, para a aquisição de medidores de vazão eletromagnéticos à energia, organizados em ITENS, destinados ao planejamento de hidrometria 2025 da Copasa, conforme os documentos “Relação de Materiais”, “Termo de Referência” e anexos, integrantes deste instrumento convocatório.</v>
      </c>
      <c r="C37" s="2">
        <v>1.0</v>
      </c>
    </row>
    <row r="38">
      <c r="A38" s="3" t="s">
        <v>37</v>
      </c>
      <c r="B38" s="4" t="str">
        <f>IFERROR(__xludf.DUMMYFUNCTION("TRIM(REGEXREPLACE(A38, ""\s+"", "" ""))"),"PRESTAÇÃO DE SERVIÇOS DE MANUTENÇÃO, CALIBRAÇÃO RASTREADA E CALIBRAÇÃO POR PITOMETRIA, DOS MEDIDORES DE FLUXO ULTRASSÔNICOS COM SISTEMA DE TELEMETRIA E ALIMENTAÇÃO FOTOVOLTAICA NOS SISTEMAS DE ÁGUA DA ELETRONUCLEAR EM ANGRA DOS REIS E PARATY/RJ, COM FORNE"&amp;"CIMENTO, INSTALAÇÃO E CONFIGURAÇÃO DE MATERIAIS.")</f>
        <v>PRESTAÇÃO DE SERVIÇOS DE MANUTENÇÃO, CALIBRAÇÃO RASTREADA E CALIBRAÇÃO POR PITOMETRIA, DOS MEDIDORES DE FLUXO ULTRASSÔNICOS COM SISTEMA DE TELEMETRIA E ALIMENTAÇÃO FOTOVOLTAICA NOS SISTEMAS DE ÁGUA DA ELETRONUCLEAR EM ANGRA DOS REIS E PARATY/RJ, COM FORNECIMENTO, INSTALAÇÃO E CONFIGURAÇÃO DE MATERIAIS.</v>
      </c>
      <c r="C38" s="2">
        <v>1.0</v>
      </c>
    </row>
    <row r="39">
      <c r="A39" s="3" t="s">
        <v>38</v>
      </c>
      <c r="B39" s="4" t="str">
        <f>IFERROR(__xludf.DUMMYFUNCTION("TRIM(REGEXREPLACE(A39, ""\s+"", "" ""))"),"PRESTAÇÃO DE SERVIÇOS DE ENGENHARIA PARA O RETROFIT DE 75 (SETENTA E CINCO) MACROMEDIDORES DE VAZÃO, COM DIÂMETROS ENTRE 250MM A 800MM - DEPARTAMENTO DE OPERAÇÃO SUL – OSO, DIVISÃO DE OPERAÇÃO SUL – OSOA, DIRETORIA DE OPERAÇÃO E MANUTENÇÃO – O")</f>
        <v>PRESTAÇÃO DE SERVIÇOS DE ENGENHARIA PARA O RETROFIT DE 75 (SETENTA E CINCO) MACROMEDIDORES DE VAZÃO, COM DIÂMETROS ENTRE 250MM A 800MM - DEPARTAMENTO DE OPERAÇÃO SUL – OSO, DIVISÃO DE OPERAÇÃO SUL – OSOA, DIRETORIA DE OPERAÇÃO E MANUTENÇÃO – O</v>
      </c>
      <c r="C39" s="2">
        <v>1.0</v>
      </c>
    </row>
    <row r="40">
      <c r="A40" s="3" t="s">
        <v>39</v>
      </c>
      <c r="B40" s="4" t="str">
        <f>IFERROR(__xludf.DUMMYFUNCTION("TRIM(REGEXREPLACE(A40, ""\s+"", "" ""))"),"Constitui o objeto do presente procedimento a aquisição de conversor de sinal eletromagnético, kit de selagem IP68 para submersão empregado em medidores de vazão eletromagnético, medidor de vazão eletromagnético 1,0mpa alimentação 24VCC sinal de saída 4-2"&amp;"0MA PN 10 DN 65, conforme relação constante da Planilha de Orçamento")</f>
        <v>Constitui o objeto do presente procedimento a aquisição de conversor de sinal eletromagnético, kit de selagem IP68 para submersão empregado em medidores de vazão eletromagnético, medidor de vazão eletromagnético 1,0mpa alimentação 24VCC sinal de saída 4-20MA PN 10 DN 65, conforme relação constante da Planilha de Orçamento</v>
      </c>
      <c r="C40" s="2">
        <v>1.0</v>
      </c>
    </row>
    <row r="41">
      <c r="A41" s="3" t="s">
        <v>40</v>
      </c>
      <c r="B41" s="4" t="str">
        <f>IFERROR(__xludf.DUMMYFUNCTION("TRIM(REGEXREPLACE(A41, ""\s+"", "" ""))"),"O objeto da presente contratação direta é a Contratação de empresa especializada para implantação de sistema de automação e telemetria integrado a plataforma supervisória, visando o monitoramento remoto e operação automatizada da estação de bombeamento do"&amp;" Serviço Autônomo de Água e Esgoto (SAAE) do Município de Santa Cruz/RN")</f>
        <v>O objeto da presente contratação direta é a Contratação de empresa especializada para implantação de sistema de automação e telemetria integrado a plataforma supervisória, visando o monitoramento remoto e operação automatizada da estação de bombeamento do Serviço Autônomo de Água e Esgoto (SAAE) do Município de Santa Cruz/RN</v>
      </c>
      <c r="C41" s="2">
        <v>1.0</v>
      </c>
    </row>
    <row r="42">
      <c r="A42" s="3" t="s">
        <v>41</v>
      </c>
      <c r="B42" s="4" t="str">
        <f>IFERROR(__xludf.DUMMYFUNCTION("TRIM(REGEXREPLACE(A42, ""\s+"", "" ""))"),"SRP para futura e eventual aquisição equipamentos para medição de vazão e pressão, conforme ETP e Termo de referência em anexo aos autos.")</f>
        <v>SRP para futura e eventual aquisição equipamentos para medição de vazão e pressão, conforme ETP e Termo de referência em anexo aos autos.</v>
      </c>
      <c r="C42" s="2">
        <v>1.0</v>
      </c>
    </row>
    <row r="43">
      <c r="A43" s="3" t="s">
        <v>42</v>
      </c>
      <c r="B43" s="4" t="str">
        <f>IFERROR(__xludf.DUMMYFUNCTION("TRIM(REGEXREPLACE(A43, ""\s+"", "" ""))"),"O objeto da licitação é a aquisição de material hidromecânico (PARTE B) para construção da adutora de abastecimento das localidades de Retiro e Carneiro, município de Chaval-CE, nas condições estabelecidas neste Edital e seus anexos")</f>
        <v>O objeto da licitação é a aquisição de material hidromecânico (PARTE B) para construção da adutora de abastecimento das localidades de Retiro e Carneiro, município de Chaval-CE, nas condições estabelecidas neste Edital e seus anexos</v>
      </c>
      <c r="C43" s="2">
        <v>1.0</v>
      </c>
    </row>
    <row r="44">
      <c r="A44" s="3" t="s">
        <v>43</v>
      </c>
      <c r="B44" s="4" t="str">
        <f>IFERROR(__xludf.DUMMYFUNCTION("TRIM(REGEXREPLACE(A44, ""\s+"", "" ""))"),"Contratação de Serviços contínuos de Calibração de Medidores de Vazão.")</f>
        <v>Contratação de Serviços contínuos de Calibração de Medidores de Vazão.</v>
      </c>
      <c r="C44" s="2">
        <v>1.0</v>
      </c>
    </row>
    <row r="45">
      <c r="A45" s="3" t="s">
        <v>44</v>
      </c>
      <c r="B45" s="4" t="str">
        <f>IFERROR(__xludf.DUMMYFUNCTION("TRIM(REGEXREPLACE(A45, ""\s+"", "" ""))"),"REGISTRO DE PREÇOS PARA AQUISIÇÃO DE MACROMEDIDORES PARA O SISTEMA DE ABASTECIMENTO DE ÁGUA DE NOVA MUTUM/MT.")</f>
        <v>REGISTRO DE PREÇOS PARA AQUISIÇÃO DE MACROMEDIDORES PARA O SISTEMA DE ABASTECIMENTO DE ÁGUA DE NOVA MUTUM/MT.</v>
      </c>
      <c r="C45" s="2">
        <v>1.0</v>
      </c>
    </row>
    <row r="46">
      <c r="A46" s="3" t="s">
        <v>45</v>
      </c>
      <c r="B46" s="4" t="str">
        <f>IFERROR(__xludf.DUMMYFUNCTION("TRIM(REGEXREPLACE(A46, ""\s+"", "" ""))"),"O objeto da presente licitação é o Registro de Preços para eventual Aquisição de medidores de vazão do tipo ultrassônico e eletromagnético, conversores de vazão e demais componentes hidráulicos necessários à sua instalação e operação, sob a forma de entre"&amp;"ga parcelada, quantidades e exigências estabelecidas neste Edital e seus anexos.")</f>
        <v>O objeto da presente licitação é o Registro de Preços para eventual Aquisição de medidores de vazão do tipo ultrassônico e eletromagnético, conversores de vazão e demais componentes hidráulicos necessários à sua instalação e operação, sob a forma de entrega parcelada, quantidades e exigências estabelecidas neste Edital e seus anexos.</v>
      </c>
      <c r="C46" s="2">
        <v>1.0</v>
      </c>
    </row>
    <row r="47">
      <c r="A47" s="3" t="s">
        <v>46</v>
      </c>
      <c r="B47" s="4" t="str">
        <f>IFERROR(__xludf.DUMMYFUNCTION("TRIM(REGEXREPLACE(A47, ""\s+"", "" ""))"),"REFERENTE AQUISIÇÃO DE MATERIAL ELÉTRICO PARA CAPTAÇÃO, ESTAÇÃO, POÇOS ARTESIANOS E SISTEMA DE DISTRIBUIÇÃO DO DEPARTAMENTO DE ÁGUA E ESGOTO DE TUPACIGUARA PARA ATENDER SUAS NECESSIDADES EM 2025, conforme condições e exigências estabelecidas neste instrum"&amp;"ento.")</f>
        <v>REFERENTE AQUISIÇÃO DE MATERIAL ELÉTRICO PARA CAPTAÇÃO, ESTAÇÃO, POÇOS ARTESIANOS E SISTEMA DE DISTRIBUIÇÃO DO DEPARTAMENTO DE ÁGUA E ESGOTO DE TUPACIGUARA PARA ATENDER SUAS NECESSIDADES EM 2025, conforme condições e exigências estabelecidas neste instrumento.</v>
      </c>
      <c r="C47" s="2">
        <v>1.0</v>
      </c>
    </row>
    <row r="48">
      <c r="A48" s="3" t="s">
        <v>47</v>
      </c>
      <c r="B48" s="4" t="str">
        <f>IFERROR(__xludf.DUMMYFUNCTION("TRIM(REGEXREPLACE(A48, ""\s+"", "" ""))"),"REGISTRO DE PREÇOS PARA FUTURA E EVENTUAL AQUISIÇÃO DE TRANSMISSORES DE PRESSÃO")</f>
        <v>REGISTRO DE PREÇOS PARA FUTURA E EVENTUAL AQUISIÇÃO DE TRANSMISSORES DE PRESSÃO</v>
      </c>
      <c r="C48" s="2">
        <v>1.0</v>
      </c>
    </row>
    <row r="49">
      <c r="A49" s="3" t="s">
        <v>48</v>
      </c>
      <c r="B49" s="4" t="str">
        <f>IFERROR(__xludf.DUMMYFUNCTION("TRIM(REGEXREPLACE(A49, ""\s+"", "" ""))"),"Aquisição de 3 medidores de vazão eletromagnéticos ¾” para controle de água na preparação de Copolímero à ser dosado no sistema de tratamento de água para consumo humano.")</f>
        <v>Aquisição de 3 medidores de vazão eletromagnéticos ¾” para controle de água na preparação de Copolímero à ser dosado no sistema de tratamento de água para consumo humano.</v>
      </c>
      <c r="C49" s="2">
        <v>1.0</v>
      </c>
    </row>
    <row r="50">
      <c r="A50" s="3" t="s">
        <v>49</v>
      </c>
      <c r="B50" s="4" t="str">
        <f>IFERROR(__xludf.DUMMYFUNCTION("TRIM(REGEXREPLACE(A50, ""\s+"", "" ""))"),"Contratação de empresa especializada para o fornecimento de 04 (quatro) conversores eletrônicos de sinais, para medidores eletromagnéticos de vazão, a serem utilizados nas adutoras de chegada de água bruta da estação de tratamento de água - ETA, unidade p"&amp;"ertencente à Codau, conforme condições e exigências estabelecidas no Termo de Referência (anexo II), em atendimento à solicitação da Gerência de Manutenção Eletromecânica e Automação e Diretoria de Desenvolvimento e Saneamento.")</f>
        <v>Contratação de empresa especializada para o fornecimento de 04 (quatro) conversores eletrônicos de sinais, para medidores eletromagnéticos de vazão, a serem utilizados nas adutoras de chegada de água bruta da estação de tratamento de água - ETA, unidade pertencente à Codau, conforme condições e exigências estabelecidas no Termo de Referência (anexo II), em atendimento à solicitação da Gerência de Manutenção Eletromecânica e Automação e Diretoria de Desenvolvimento e Saneamento.</v>
      </c>
      <c r="C50" s="2">
        <v>1.0</v>
      </c>
    </row>
    <row r="51">
      <c r="A51" s="3" t="s">
        <v>50</v>
      </c>
      <c r="B51" s="4" t="str">
        <f>IFERROR(__xludf.DUMMYFUNCTION("TRIM(REGEXREPLACE(A51, ""\s+"", "" ""))"),"0 objeto da presente licitação é a AQUISIÇÃO E INSTALAÇÃO DE MACROMEDIDORES PARA CONTROLE DE PERDAS NO SISTEMA DE ABASTECIMENTO DE AGUA DO MUNICIPIO DE ITUVERAVA/SP, conforme contrato junto ao Fehidro de n2116/2024.")</f>
        <v>0 objeto da presente licitação é a AQUISIÇÃO E INSTALAÇÃO DE MACROMEDIDORES PARA CONTROLE DE PERDAS NO SISTEMA DE ABASTECIMENTO DE AGUA DO MUNICIPIO DE ITUVERAVA/SP, conforme contrato junto ao Fehidro de n2116/2024.</v>
      </c>
      <c r="C51" s="2">
        <v>1.0</v>
      </c>
    </row>
    <row r="52">
      <c r="A52" s="3" t="s">
        <v>51</v>
      </c>
      <c r="B52" s="4" t="str">
        <f>IFERROR(__xludf.DUMMYFUNCTION("TRIM(REGEXREPLACE(A52, ""\s+"", "" ""))"),"Aquisição de transmissores de pressão e nível por radar e ultrassom.")</f>
        <v>Aquisição de transmissores de pressão e nível por radar e ultrassom.</v>
      </c>
      <c r="C52" s="2">
        <v>1.0</v>
      </c>
    </row>
    <row r="53">
      <c r="A53" s="3" t="s">
        <v>52</v>
      </c>
      <c r="B53" s="4" t="str">
        <f>IFERROR(__xludf.DUMMYFUNCTION("TRIM(REGEXREPLACE(A53, ""\s+"", "" ""))"),"Aquisição de Macromedidores eletromagnéticos de carretel, diâmetros diversos.")</f>
        <v>Aquisição de Macromedidores eletromagnéticos de carretel, diâmetros diversos.</v>
      </c>
      <c r="C53" s="2">
        <v>1.0</v>
      </c>
    </row>
    <row r="54">
      <c r="A54" s="3" t="s">
        <v>53</v>
      </c>
      <c r="B54" s="4" t="str">
        <f>IFERROR(__xludf.DUMMYFUNCTION("TRIM(REGEXREPLACE(A54, ""\s+"", "" ""))"),"O presente Pregão Eletrônico tem por objeto, o registro de preços para a aquisição de medidores de vazão eletromagnético sem trecho reto (0dn:0dn) para atender a demanda do setor de abastecimento de água do município de Canelinha, conforme especificações "&amp;"e quantidades descritas nos anexos do Edital.")</f>
        <v>O presente Pregão Eletrônico tem por objeto, o registro de preços para a aquisição de medidores de vazão eletromagnético sem trecho reto (0dn:0dn) para atender a demanda do setor de abastecimento de água do município de Canelinha, conforme especificações e quantidades descritas nos anexos do Edital.</v>
      </c>
      <c r="C54" s="2">
        <v>1.0</v>
      </c>
    </row>
    <row r="55">
      <c r="A55" s="3" t="s">
        <v>54</v>
      </c>
      <c r="B55" s="4" t="str">
        <f>IFERROR(__xludf.DUMMYFUNCTION("TRIM(REGEXREPLACE(A55, ""\s+"", "" ""))"),"AQUISIÇÃO DE 02 MEDIDORES MAGNÉTICOS DE VAZÃO")</f>
        <v>AQUISIÇÃO DE 02 MEDIDORES MAGNÉTICOS DE VAZÃO</v>
      </c>
      <c r="C55" s="2">
        <v>1.0</v>
      </c>
    </row>
    <row r="56">
      <c r="A56" s="3" t="s">
        <v>55</v>
      </c>
      <c r="B56" s="4" t="str">
        <f>IFERROR(__xludf.DUMMYFUNCTION("TRIM(REGEXREPLACE(A56, ""\s+"", "" ""))"),"REGISTRO DE PREÇOS PARA MEDIDORES DE VAZÃO")</f>
        <v>REGISTRO DE PREÇOS PARA MEDIDORES DE VAZÃO</v>
      </c>
      <c r="C56" s="2">
        <v>1.0</v>
      </c>
    </row>
    <row r="57">
      <c r="A57" s="3" t="s">
        <v>56</v>
      </c>
      <c r="B57" s="4" t="str">
        <f>IFERROR(__xludf.DUMMYFUNCTION("TRIM(REGEXREPLACE(A57, ""\s+"", "" ""))"),"O objeto da presente licitação é o registro de preços para aquisição de medidores de vazão, conforme condições, quantidades e exigências estabelecidas neste Edital e seus Anexos")</f>
        <v>O objeto da presente licitação é o registro de preços para aquisição de medidores de vazão, conforme condições, quantidades e exigências estabelecidas neste Edital e seus Anexos</v>
      </c>
      <c r="C57" s="2">
        <v>1.0</v>
      </c>
    </row>
    <row r="58">
      <c r="A58" s="3" t="s">
        <v>57</v>
      </c>
      <c r="B58" s="4" t="str">
        <f>IFERROR(__xludf.DUMMYFUNCTION("TRIM(REGEXREPLACE(A58, ""\s+"", "" ""))"),"O objeto da presente licitação é a “Contratação de empresa especializada para Implantação do Projeto de Combate as perdas de água, através da implantação da macromedição, automação, telemetria e eficiência no Municipio de Iacanga/SP, estando de acordo com"&amp;" as especificações dos Anexos do presente Edital e ainda de acordo com Contrato FEHIDRO nº 195/24")</f>
        <v>O objeto da presente licitação é a “Contratação de empresa especializada para Implantação do Projeto de Combate as perdas de água, através da implantação da macromedição, automação, telemetria e eficiência no Municipio de Iacanga/SP, estando de acordo com as especificações dos Anexos do presente Edital e ainda de acordo com Contrato FEHIDRO nº 195/24</v>
      </c>
      <c r="C58" s="2">
        <v>1.0</v>
      </c>
    </row>
    <row r="59">
      <c r="A59" s="3" t="s">
        <v>58</v>
      </c>
      <c r="B59" s="4" t="str">
        <f>IFERROR(__xludf.DUMMYFUNCTION("TRIM(REGEXREPLACE(A59, ""\s+"", "" ""))"),"O objeto do presente certame consiste na AQUISIÇÃO DE DIVERSOS QUADROS DE COMANDO PARA ACIONAMENTO DE BOMBAS DE ELEVATÓRIAS DE ESGOTO E QUADRO GERAL DE BAIXA TENSÃO conforme condições, exigências técnicas e quantidades estabelecidas neste documento e seus"&amp;" anexos.")</f>
        <v>O objeto do presente certame consiste na AQUISIÇÃO DE DIVERSOS QUADROS DE COMANDO PARA ACIONAMENTO DE BOMBAS DE ELEVATÓRIAS DE ESGOTO E QUADRO GERAL DE BAIXA TENSÃO conforme condições, exigências técnicas e quantidades estabelecidas neste documento e seus anexos.</v>
      </c>
      <c r="C59" s="2">
        <v>1.0</v>
      </c>
    </row>
    <row r="60">
      <c r="A60" s="3" t="s">
        <v>59</v>
      </c>
      <c r="B60" s="4" t="str">
        <f>IFERROR(__xludf.DUMMYFUNCTION("TRIM(REGEXREPLACE(A60, ""\s+"", "" ""))"),"O objeto da presente licitação é o REGISTRO DE PREÇOS PARA O FORNECIMENTO PARCELADO DE TRANSDUTOR DE PRESSÃO, conforme condições, quantidades e exigências estabelecidas no Termo de Referência, Anexo I deste edital")</f>
        <v>O objeto da presente licitação é o REGISTRO DE PREÇOS PARA O FORNECIMENTO PARCELADO DE TRANSDUTOR DE PRESSÃO, conforme condições, quantidades e exigências estabelecidas no Termo de Referência, Anexo I deste edital</v>
      </c>
      <c r="C60" s="2">
        <v>1.0</v>
      </c>
    </row>
    <row r="61">
      <c r="A61" s="3" t="s">
        <v>60</v>
      </c>
      <c r="B61" s="4" t="str">
        <f>IFERROR(__xludf.DUMMYFUNCTION("TRIM(REGEXREPLACE(A61, ""\s+"", "" ""))"),"A presente licitação tem por objeto a escolha da proposta mais vantajosa para Contratação de empresa especializada para a manutenção dos equipamentos de processo (Automação) e bancada da Estação de Tratamento de Água (ETA) e Estação de Recuperação e Prese"&amp;"rvação Ambiental (ERPAI), para 12 (doze) meses, conforme especificações, quantidades e condições de execução constantes do Anexo I - Termo de Referência")</f>
        <v>A presente licitação tem por objeto a escolha da proposta mais vantajosa para Contratação de empresa especializada para a manutenção dos equipamentos de processo (Automação) e bancada da Estação de Tratamento de Água (ETA) e Estação de Recuperação e Preservação Ambiental (ERPAI), para 12 (doze) meses, conforme especificações, quantidades e condições de execução constantes do Anexo I - Termo de Referência</v>
      </c>
      <c r="C61" s="2">
        <v>1.0</v>
      </c>
    </row>
    <row r="62">
      <c r="A62" s="3" t="s">
        <v>61</v>
      </c>
      <c r="B62" s="4" t="str">
        <f>IFERROR(__xludf.DUMMYFUNCTION("TRIM(REGEXREPLACE(A62, ""\s+"", "" ""))"),"CALIBRAÇÃO RASTREADA DE ROTÂMETROS (MEDIDOR DE VAZÃO) IN LOCO.")</f>
        <v>CALIBRAÇÃO RASTREADA DE ROTÂMETROS (MEDIDOR DE VAZÃO) IN LOCO.</v>
      </c>
      <c r="C62" s="2">
        <v>1.0</v>
      </c>
    </row>
    <row r="63">
      <c r="A63" s="3" t="s">
        <v>62</v>
      </c>
      <c r="B63" s="4" t="str">
        <f>IFERROR(__xludf.DUMMYFUNCTION("TRIM(REGEXREPLACE(A63, ""\s+"", "" ""))"),"AQUISIÇÃO DE GEOFONES ELETRÔNICOS E MEDIDORES DE VAZÃO COM SAÍDA DE SISTEMA DE AUTOMAÇÃO")</f>
        <v>AQUISIÇÃO DE GEOFONES ELETRÔNICOS E MEDIDORES DE VAZÃO COM SAÍDA DE SISTEMA DE AUTOMAÇÃO</v>
      </c>
      <c r="C63" s="2">
        <v>1.0</v>
      </c>
    </row>
    <row r="64">
      <c r="A64" s="3" t="s">
        <v>63</v>
      </c>
      <c r="B64" s="4" t="str">
        <f>IFERROR(__xludf.DUMMYFUNCTION("TRIM(REGEXREPLACE(A64, ""\s+"", "" ""))"),"Registro de Preços para futura aquisição de materiais hidráulicos para Ampliação da Rede de Adução na Rua Benjamim Constant, DA 25_2842 – Bairro Escola Agrícola, na cidade de Blumenau/SC, de acordo com projeto desenvolvido pelo Consorcio MPB-PROSERENCO, c"&amp;"om a supervisão e fiscalização do Departamento Técnico do SAMAE.")</f>
        <v>Registro de Preços para futura aquisição de materiais hidráulicos para Ampliação da Rede de Adução na Rua Benjamim Constant, DA 25_2842 – Bairro Escola Agrícola, na cidade de Blumenau/SC, de acordo com projeto desenvolvido pelo Consorcio MPB-PROSERENCO, com a supervisão e fiscalização do Departamento Técnico do SAMAE.</v>
      </c>
      <c r="C64" s="2">
        <v>1.0</v>
      </c>
    </row>
    <row r="65">
      <c r="A65" s="3" t="s">
        <v>64</v>
      </c>
      <c r="B65" s="4" t="str">
        <f>IFERROR(__xludf.DUMMYFUNCTION("TRIM(REGEXREPLACE(A65, ""\s+"", "" ""))"),"PARA REALIZAÇÃO DE REGISTRO DE PREÇO NA MODALIDADE PREGÃO PARA FUTURA E EVENTUAL CONTRATAÇÃO, COM FORNECIMENTO PARCELADO, DE TUBOS E CONEXÕES PARA USO DOS ENTES CONSORCIADOS AO CONSÓRCIO INTERMUNICIPAL DE SANEAMENTO AMBIENTAL – CISAM-SUL")</f>
        <v>PARA REALIZAÇÃO DE REGISTRO DE PREÇO NA MODALIDADE PREGÃO PARA FUTURA E EVENTUAL CONTRATAÇÃO, COM FORNECIMENTO PARCELADO, DE TUBOS E CONEXÕES PARA USO DOS ENTES CONSORCIADOS AO CONSÓRCIO INTERMUNICIPAL DE SANEAMENTO AMBIENTAL – CISAM-SUL</v>
      </c>
      <c r="C65" s="2">
        <v>1.0</v>
      </c>
    </row>
    <row r="66">
      <c r="A66" s="3" t="s">
        <v>65</v>
      </c>
      <c r="B66" s="4" t="str">
        <f>IFERROR(__xludf.DUMMYFUNCTION("TRIM(REGEXREPLACE(A66, ""\s+"", "" ""))"),"O objeto desta licitação consiste na CONTRATAÇÃO DE SERVIÇO DE INSTALAÇÃO E FORNECIMENTO DE MEDIDORES DE VAZÃO ULTRASSÔNICO E MODEM GPRS PARA COMUNICAÇÃO COM SUPERVISÓRIO PARA AS ETES CORONEL FREITAS, ERVAL VELHO, CATANDUVAS E OURO VERDE de acordo com as "&amp;"especificações contidas nos ANEXO I (MODELO DE PROPOSTA DETALHADA) e ANEXO II (PROJETO BÁSICO) deste Edital e REGULAMENTAÇÃO DE PREÇOS E CRITÉRIOS DE MEDIÇÃO disponível no site da CASAN - www.casan.com.br no link “licitações”.")</f>
        <v>O objeto desta licitação consiste na CONTRATAÇÃO DE SERVIÇO DE INSTALAÇÃO E FORNECIMENTO DE MEDIDORES DE VAZÃO ULTRASSÔNICO E MODEM GPRS PARA COMUNICAÇÃO COM SUPERVISÓRIO PARA AS ETES CORONEL FREITAS, ERVAL VELHO, CATANDUVAS E OURO VERDE de acordo com as especificações contidas nos ANEXO I (MODELO DE PROPOSTA DETALHADA) e ANEXO II (PROJETO BÁSICO) deste Edital e REGULAMENTAÇÃO DE PREÇOS E CRITÉRIOS DE MEDIÇÃO disponível no site da CASAN - www.casan.com.br no link “licitações”.</v>
      </c>
      <c r="C66" s="2">
        <v>1.0</v>
      </c>
    </row>
    <row r="67">
      <c r="A67" s="3" t="s">
        <v>66</v>
      </c>
      <c r="B67" s="4" t="str">
        <f>IFERROR(__xludf.DUMMYFUNCTION("TRIM(REGEXREPLACE(A67, ""\s+"", "" ""))"),"O objeto desta licitação é aquisição de transmissores de pressão, conforme condições, quantidades e exigências estabelecidas neste Edital e no Termo de Referência (Ordem de Licitação nº 12572/2025 – DA).")</f>
        <v>O objeto desta licitação é aquisição de transmissores de pressão, conforme condições, quantidades e exigências estabelecidas neste Edital e no Termo de Referência (Ordem de Licitação nº 12572/2025 – DA).</v>
      </c>
      <c r="C67" s="2">
        <v>1.0</v>
      </c>
    </row>
    <row r="68">
      <c r="A68" s="3" t="s">
        <v>67</v>
      </c>
      <c r="B68" s="4" t="str">
        <f>IFERROR(__xludf.DUMMYFUNCTION("TRIM(REGEXREPLACE(A68, ""\s+"", "" ""))"),"Aquisição de materiais hidráulicos (tubos e conexões de FoFo e FoFo Ductil, válvula e registros, tampão cone, tubo e conexões polietileno e medidor de vazão) para Ampliação da Rede de Adução na Rua Prof. Max Humpl – Salto do Norte, DA_25_2677, na cidade d"&amp;"e Blumenau/SC, de acordo com projeto desenvolvido pelo Departamento Técnico do SAMAE.")</f>
        <v>Aquisição de materiais hidráulicos (tubos e conexões de FoFo e FoFo Ductil, válvula e registros, tampão cone, tubo e conexões polietileno e medidor de vazão) para Ampliação da Rede de Adução na Rua Prof. Max Humpl – Salto do Norte, DA_25_2677, na cidade de Blumenau/SC, de acordo com projeto desenvolvido pelo Departamento Técnico do SAMAE.</v>
      </c>
      <c r="C68" s="2">
        <v>1.0</v>
      </c>
    </row>
    <row r="69">
      <c r="A69" s="3" t="s">
        <v>68</v>
      </c>
      <c r="B69" s="4" t="str">
        <f>IFERROR(__xludf.DUMMYFUNCTION("TRIM(REGEXREPLACE(A69, ""\s+"", "" ""))"),"Contratação de empresa para aquisição de MATERIAIS ELETRICOS, melhor especificado no ANEXO I.")</f>
        <v>Contratação de empresa para aquisição de MATERIAIS ELETRICOS, melhor especificado no ANEXO I.</v>
      </c>
      <c r="C69" s="2">
        <v>1.0</v>
      </c>
    </row>
    <row r="70">
      <c r="A70" s="3" t="s">
        <v>69</v>
      </c>
      <c r="B70" s="4" t="str">
        <f>IFERROR(__xludf.DUMMYFUNCTION("TRIM(REGEXREPLACE(A70, ""\s+"", "" ""))"),"Constitui objeto da presente licitação o registro de preço para a futura e eventual aquisição DE HIDRÔMETROS VELOCÍMETROS MULTIJATO E ULTRASSÔNICOS NOVOS E SUAS RESPECTIVAS CONEXÕES, HIDRÔMETROS RECUPERADOS, CAIXAS PROTETORAS PARA HIDRÔMETRO, VÁLVULAS DE "&amp;"CORTE, CHAVES DE METAL PARA CORTE, LACRES ANTIFRAUDE E MACROMEDIDORES,")</f>
        <v>Constitui objeto da presente licitação o registro de preço para a futura e eventual aquisição DE HIDRÔMETROS VELOCÍMETROS MULTIJATO E ULTRASSÔNICOS NOVOS E SUAS RESPECTIVAS CONEXÕES, HIDRÔMETROS RECUPERADOS, CAIXAS PROTETORAS PARA HIDRÔMETRO, VÁLVULAS DE CORTE, CHAVES DE METAL PARA CORTE, LACRES ANTIFRAUDE E MACROMEDIDORES,</v>
      </c>
      <c r="C70" s="2">
        <v>1.0</v>
      </c>
    </row>
    <row r="71">
      <c r="A71" s="3" t="s">
        <v>70</v>
      </c>
      <c r="B71" s="4" t="str">
        <f>IFERROR(__xludf.DUMMYFUNCTION("TRIM(REGEXREPLACE(A71, ""\s+"", "" ""))"),"O objeto desta licitação consiste na REGISTRO DE PREÇOS PARA AQUISIÇÃO EVENTUAL DE MEDIDORES DE VAZÃO ULTRASSÔNICOS FLANGEADOS À BATERIA PARA MEDIÇÃO DE ÁGUA BRUTA, TRATADA E SETORIZAÇÃO, de acordo com as especificações contidas nos ANEXO I (MODELO DE PRO"&amp;"POSTA DETALHADA) e ANEXO II (TERMO DE REFERÊNCIA) deste Edital.")</f>
        <v>O objeto desta licitação consiste na REGISTRO DE PREÇOS PARA AQUISIÇÃO EVENTUAL DE MEDIDORES DE VAZÃO ULTRASSÔNICOS FLANGEADOS À BATERIA PARA MEDIÇÃO DE ÁGUA BRUTA, TRATADA E SETORIZAÇÃO, de acordo com as especificações contidas nos ANEXO I (MODELO DE PROPOSTA DETALHADA) e ANEXO II (TERMO DE REFERÊNCIA) deste Edital.</v>
      </c>
      <c r="C71" s="2">
        <v>1.0</v>
      </c>
    </row>
    <row r="72">
      <c r="A72" s="1" t="s">
        <v>71</v>
      </c>
      <c r="B72" s="5" t="str">
        <f>IFERROR(__xludf.DUMMYFUNCTION("TRIM(REGEXREPLACE(A72, ""\s+"", "" ""))"),"O objeto da licitação é o Registro de Preço para futuras e eventuais Aquisições de INDICADORES UNIVERSAIS, nas condições estabelecidas neste edital e seus anexos.")</f>
        <v>O objeto da licitação é o Registro de Preço para futuras e eventuais Aquisições de INDICADORES UNIVERSAIS, nas condições estabelecidas neste edital e seus anexos.</v>
      </c>
      <c r="C72" s="2">
        <v>1.0</v>
      </c>
    </row>
    <row r="73">
      <c r="A73" s="6" t="s">
        <v>72</v>
      </c>
      <c r="B73" s="5" t="str">
        <f>IFERROR(__xludf.DUMMYFUNCTION("TRIM(REGEXREPLACE(A73, ""\s+"", "" ""))"),"AQUISIÇÃO DE MACROMEDIDORES ELETROMAGNÉTICOS TIPO CARRETEL PARA UTILIZAÇÃO NOS MUNICÍPIOS DA SUPERINTENDENCIA VALE DO RIBEIRA – OR - DIRETORIA DE OPERAÇÃO E MANUTENÇÃO – O")</f>
        <v>AQUISIÇÃO DE MACROMEDIDORES ELETROMAGNÉTICOS TIPO CARRETEL PARA UTILIZAÇÃO NOS MUNICÍPIOS DA SUPERINTENDENCIA VALE DO RIBEIRA – OR - DIRETORIA DE OPERAÇÃO E MANUTENÇÃO – O</v>
      </c>
      <c r="C73" s="2">
        <v>1.0</v>
      </c>
    </row>
    <row r="74">
      <c r="A74" s="6" t="s">
        <v>73</v>
      </c>
      <c r="B74" s="5" t="str">
        <f>IFERROR(__xludf.DUMMYFUNCTION("TRIM(REGEXREPLACE(A74, ""\s+"", "" ""))"),"A presente licitação tem por objeto a escolha da proposta mais vantajosa para Contratação de empresa especializada para a manutenção dos equipamentos de processo (Automação) e bancada da Estação de Tratamento de Água (ETA) e Estação de Recuperação e Prese"&amp;"rvação Ambiental (ERPAI), para 12 (doze) meses, conforme especificações, quantidades e condições de execução constantes do Anexo I - Termo de Referência.")</f>
        <v>A presente licitação tem por objeto a escolha da proposta mais vantajosa para Contratação de empresa especializada para a manutenção dos equipamentos de processo (Automação) e bancada da Estação de Tratamento de Água (ETA) e Estação de Recuperação e Preservação Ambiental (ERPAI), para 12 (doze) meses, conforme especificações, quantidades e condições de execução constantes do Anexo I - Termo de Referência.</v>
      </c>
      <c r="C74" s="2">
        <v>1.0</v>
      </c>
    </row>
    <row r="75">
      <c r="A75" s="6" t="s">
        <v>74</v>
      </c>
      <c r="B75" s="5" t="str">
        <f>IFERROR(__xludf.DUMMYFUNCTION("TRIM(REGEXREPLACE(A75, ""\s+"", "" ""))"),"Contratação de serviço de calibração do medidor de vazão eletromagnético do Laboratório de motores,")</f>
        <v>Contratação de serviço de calibração do medidor de vazão eletromagnético do Laboratório de motores,</v>
      </c>
      <c r="C75" s="2">
        <v>1.0</v>
      </c>
    </row>
    <row r="76">
      <c r="A76" s="6" t="s">
        <v>75</v>
      </c>
      <c r="B76" s="5" t="str">
        <f>IFERROR(__xludf.DUMMYFUNCTION("TRIM(REGEXREPLACE(A76, ""\s+"", "" ""))"),"REGISTRO DE PREÇO PARA AQUISIÇÃO DE MEDIDOR DE VAZÃO E DE NÍVEL, MALETA PARA MEDIÇÃO E MANÔMETRO")</f>
        <v>REGISTRO DE PREÇO PARA AQUISIÇÃO DE MEDIDOR DE VAZÃO E DE NÍVEL, MALETA PARA MEDIÇÃO E MANÔMETRO</v>
      </c>
      <c r="C76" s="2">
        <v>1.0</v>
      </c>
    </row>
    <row r="77">
      <c r="A77" s="6" t="s">
        <v>76</v>
      </c>
      <c r="B77" s="5" t="str">
        <f>IFERROR(__xludf.DUMMYFUNCTION("TRIM(REGEXREPLACE(A77, ""\s+"", "" ""))"),"Realizar manutenção de equipamentos de medição e registro de pressão e vazão para fins de controle de perdas de água, de forma a assegurar a eficiência e estender a vida útil dos mesmos")</f>
        <v>Realizar manutenção de equipamentos de medição e registro de pressão e vazão para fins de controle de perdas de água, de forma a assegurar a eficiência e estender a vida útil dos mesmos</v>
      </c>
      <c r="C77" s="2">
        <v>1.0</v>
      </c>
    </row>
    <row r="78">
      <c r="A78" s="6" t="s">
        <v>77</v>
      </c>
      <c r="B78" s="5" t="str">
        <f>IFERROR(__xludf.DUMMYFUNCTION("TRIM(REGEXREPLACE(A78, ""\s+"", "" ""))"),"MANUTENÇÃO DE EQUIPAMENTOS DE MEDIÇÃO E REGISTRO DE PRESSÃO PARA FINS DE CONTROLE DE PERDAS DE ÁGUA")</f>
        <v>MANUTENÇÃO DE EQUIPAMENTOS DE MEDIÇÃO E REGISTRO DE PRESSÃO PARA FINS DE CONTROLE DE PERDAS DE ÁGUA</v>
      </c>
      <c r="C78" s="2">
        <v>1.0</v>
      </c>
    </row>
    <row r="79">
      <c r="A79" s="6" t="s">
        <v>78</v>
      </c>
      <c r="B79" s="5" t="str">
        <f>IFERROR(__xludf.DUMMYFUNCTION("TRIM(REGEXREPLACE(A79, ""\s+"", "" ""))"),"QUISIÇÃO DE MEDIDORES DE NÍVEL PARA ATENDER AS DEMANDAS OPERACIONAIS DA EMBASA, CONFORME PLANEJAMENTO ESTRATÉGICO DE MATERIAIS DE INVESTIMENTO, ATRAVÉS DO SISTEMA DE REGISTRO DE PREÇO.")</f>
        <v>QUISIÇÃO DE MEDIDORES DE NÍVEL PARA ATENDER AS DEMANDAS OPERACIONAIS DA EMBASA, CONFORME PLANEJAMENTO ESTRATÉGICO DE MATERIAIS DE INVESTIMENTO, ATRAVÉS DO SISTEMA DE REGISTRO DE PREÇO.</v>
      </c>
      <c r="C79" s="2">
        <v>1.0</v>
      </c>
    </row>
    <row r="80">
      <c r="A80" s="6" t="s">
        <v>79</v>
      </c>
      <c r="B80" s="5" t="str">
        <f>IFERROR(__xludf.DUMMYFUNCTION("TRIM(REGEXREPLACE(A80, ""\s+"", "" ""))"),"A presente licitação tem por objeto a escolha da proposta mais vantajosa para Aquisição de conjunto de bomba in-line, incluindo motores, painéis elétricos e todos os acessórios necessários para sua operação na elevatória de esgoto do Córrego da Lagoa e tr"&amp;"ansmissores de nível por pressão hidrostática, sob a gestão da SAE Ituiutaba/MG, conforme especificações, quantidades e condições de entrega constantes do Anexo I - Termo de Referência.")</f>
        <v>A presente licitação tem por objeto a escolha da proposta mais vantajosa para Aquisição de conjunto de bomba in-line, incluindo motores, painéis elétricos e todos os acessórios necessários para sua operação na elevatória de esgoto do Córrego da Lagoa e transmissores de nível por pressão hidrostática, sob a gestão da SAE Ituiutaba/MG, conforme especificações, quantidades e condições de entrega constantes do Anexo I - Termo de Referência.</v>
      </c>
      <c r="C80" s="2">
        <v>1.0</v>
      </c>
    </row>
    <row r="81">
      <c r="A81" s="6" t="s">
        <v>80</v>
      </c>
      <c r="B81" s="5" t="str">
        <f>IFERROR(__xludf.DUMMYFUNCTION("TRIM(REGEXREPLACE(A81, ""\s+"", "" ""))"),"CONTRATAÇÃO DE EMPRESA TÉCNICA DE ENGENHARIA ESPECIALIZADA EM INSTRUMENTAÇÃO PARA EXECUÇÃO DE SERVIÇOS DE AVALIAÇÃO DE MACROMEDIDORES DE VAZÃO DO TIPO ELETROMAGNÉTICOS DE INSERÇÃO EXISTENTES NAS ADUTORAS DE ÁGUA TRATADA DO SAAE DE INDAIATUBA COM FORNECIME"&amp;"NTO DE MÃO-DE-OBRA ESPECIALIZADA E MATERIAIS DE CONSUMO")</f>
        <v>CONTRATAÇÃO DE EMPRESA TÉCNICA DE ENGENHARIA ESPECIALIZADA EM INSTRUMENTAÇÃO PARA EXECUÇÃO DE SERVIÇOS DE AVALIAÇÃO DE MACROMEDIDORES DE VAZÃO DO TIPO ELETROMAGNÉTICOS DE INSERÇÃO EXISTENTES NAS ADUTORAS DE ÁGUA TRATADA DO SAAE DE INDAIATUBA COM FORNECIMENTO DE MÃO-DE-OBRA ESPECIALIZADA E MATERIAIS DE CONSUMO</v>
      </c>
      <c r="C81" s="2">
        <v>1.0</v>
      </c>
    </row>
    <row r="82">
      <c r="A82" s="6" t="s">
        <v>81</v>
      </c>
      <c r="B82" s="5" t="str">
        <f>IFERROR(__xludf.DUMMYFUNCTION("TRIM(REGEXREPLACE(A82, ""\s+"", "" ""))"),"Registro de Preços, pelo prazo de 12 (doze) meses, para aquisições futuras de Sensores de Níveis dos tipos pressão absoluta e radares eletromagnéticos, para atender as necessidades da Companhia de Pesquisa de Recursos Minerais - CPRM, conforme as especifi"&amp;"cações constantes no Termo de Referência – Anexo I, deste Edital")</f>
        <v>Registro de Preços, pelo prazo de 12 (doze) meses, para aquisições futuras de Sensores de Níveis dos tipos pressão absoluta e radares eletromagnéticos, para atender as necessidades da Companhia de Pesquisa de Recursos Minerais - CPRM, conforme as especificações constantes no Termo de Referência – Anexo I, deste Edital</v>
      </c>
      <c r="C82" s="2">
        <v>1.0</v>
      </c>
    </row>
    <row r="83">
      <c r="A83" s="6" t="s">
        <v>82</v>
      </c>
      <c r="B83" s="5" t="str">
        <f>IFERROR(__xludf.DUMMYFUNCTION("TRIM(REGEXREPLACE(A83, ""\s+"", "" ""))"),"O objeto desta licitação é aquisição de mostrador secundário universal para medidor de vazão eletromagnético, conforme condições, quantidades e exigências estabelecidas neste Edital e no Termo de Referência (Ordem de Licitação nº 12817/2025 – DA).")</f>
        <v>O objeto desta licitação é aquisição de mostrador secundário universal para medidor de vazão eletromagnético, conforme condições, quantidades e exigências estabelecidas neste Edital e no Termo de Referência (Ordem de Licitação nº 12817/2025 – DA).</v>
      </c>
      <c r="C83" s="2">
        <v>1.0</v>
      </c>
    </row>
    <row r="84">
      <c r="A84" s="6" t="s">
        <v>83</v>
      </c>
      <c r="B84" s="5" t="str">
        <f>IFERROR(__xludf.DUMMYFUNCTION("TRIM(REGEXREPLACE(A84, ""\s+"", "" ""))"),"O presente edital tem como objeto aquisição de medidores de vazão e indicadores de nível conforme especificações e quantitativos constantes do Anexo II deste Edital.")</f>
        <v>O presente edital tem como objeto aquisição de medidores de vazão e indicadores de nível conforme especificações e quantitativos constantes do Anexo II deste Edital.</v>
      </c>
      <c r="C84" s="2">
        <v>1.0</v>
      </c>
    </row>
    <row r="85">
      <c r="A85" s="6" t="s">
        <v>84</v>
      </c>
      <c r="B85" s="5" t="str">
        <f>IFERROR(__xludf.DUMMYFUNCTION("TRIM(REGEXREPLACE(A85, ""\s+"", "" ""))"),"O objeto da presente licitação é a possível aquisção de materiais hidráulicos especiais para pitometria, em 02 lotes, sendo: Lote 1 - acessórios para pitometria e Lote 2 - instrumentos de medição por ultrassom (EXCLUSIVO PARA ME/EPP), conforme condições e"&amp;" especificações contidas no Termo de Referência")</f>
        <v>O objeto da presente licitação é a possível aquisção de materiais hidráulicos especiais para pitometria, em 02 lotes, sendo: Lote 1 - acessórios para pitometria e Lote 2 - instrumentos de medição por ultrassom (EXCLUSIVO PARA ME/EPP), conforme condições e especificações contidas no Termo de Referência</v>
      </c>
      <c r="C85" s="2">
        <v>1.0</v>
      </c>
    </row>
    <row r="86">
      <c r="A86" s="6" t="s">
        <v>85</v>
      </c>
      <c r="B86" s="5" t="str">
        <f>IFERROR(__xludf.DUMMYFUNCTION("TRIM(REGEXREPLACE(A86, ""\s+"", "" ""))"),"AQUISIÇÃO DE EQUIPAMENTOS DE INSTRUMENTAÇÃO (CONFIGURADOR HART, TRANSMISSOR DE PRESSÃO, TRANSMISSOR DE TEMPERATURA, TRANSMISSOR DE PH, MEDIDOR DE VASÃO ULTRASSÔNICO, CALIBRADOR DE PRESSÃO, ENTRE OUTROS) PARA AS UNIDADES DO SENAI-SP")</f>
        <v>AQUISIÇÃO DE EQUIPAMENTOS DE INSTRUMENTAÇÃO (CONFIGURADOR HART, TRANSMISSOR DE PRESSÃO, TRANSMISSOR DE TEMPERATURA, TRANSMISSOR DE PH, MEDIDOR DE VASÃO ULTRASSÔNICO, CALIBRADOR DE PRESSÃO, ENTRE OUTROS) PARA AS UNIDADES DO SENAI-SP</v>
      </c>
      <c r="C86" s="2">
        <v>1.0</v>
      </c>
    </row>
    <row r="87">
      <c r="A87" s="6" t="s">
        <v>86</v>
      </c>
      <c r="B87" s="5" t="str">
        <f>IFERROR(__xludf.DUMMYFUNCTION("TRIM(REGEXREPLACE(A87, ""\s+"", "" ""))"),"Contratação de empresa para aquisição de medidores de vazão do tipo eletromagnético flangeado e ultrassônico, com a finalidade de garantir o monitoramento eficiente e preciso do volume de água distribuído nos sistemas de abastecimento de água, em atendime"&amp;"nto à Diretoria Sistema Abastecimento de Água, conforme condições, quantidades e exigências estabelecidas neste Edital e seus anexos.")</f>
        <v>Contratação de empresa para aquisição de medidores de vazão do tipo eletromagnético flangeado e ultrassônico, com a finalidade de garantir o monitoramento eficiente e preciso do volume de água distribuído nos sistemas de abastecimento de água, em atendimento à Diretoria Sistema Abastecimento de Água, conforme condições, quantidades e exigências estabelecidas neste Edital e seus anexos.</v>
      </c>
      <c r="C87" s="2">
        <v>1.0</v>
      </c>
    </row>
    <row r="88">
      <c r="A88" s="6" t="s">
        <v>87</v>
      </c>
      <c r="B88" s="5" t="str">
        <f>IFERROR(__xludf.DUMMYFUNCTION("TRIM(REGEXREPLACE(A88, ""\s+"", "" ""))"),"Aquisição de 04 (quatro) medidores de vazão eletromagnéticos flangeados DN100, 03 (três) medidores de vazão eletromagnéticos flangeados DN150, 02 (dois) medidores de vazão eletromagnéticos flangeados DN250, 03 (três) medidores de vazão eletromagnéticos de"&amp;" inserção, 05 (cinco) medidores de vazão ultrassônicos tipo clamp-on e 07 (sete) medidores de vazão para canal aberto, tipo ultrassônico, sob a forma de entrega única, conforme especificações constantes no Termo de Referência.")</f>
        <v>Aquisição de 04 (quatro) medidores de vazão eletromagnéticos flangeados DN100, 03 (três) medidores de vazão eletromagnéticos flangeados DN150, 02 (dois) medidores de vazão eletromagnéticos flangeados DN250, 03 (três) medidores de vazão eletromagnéticos de inserção, 05 (cinco) medidores de vazão ultrassônicos tipo clamp-on e 07 (sete) medidores de vazão para canal aberto, tipo ultrassônico, sob a forma de entrega única, conforme especificações constantes no Termo de Referência.</v>
      </c>
      <c r="C88" s="2">
        <v>1.0</v>
      </c>
    </row>
    <row r="89">
      <c r="A89" s="6" t="s">
        <v>88</v>
      </c>
      <c r="B89" s="5" t="str">
        <f>IFERROR(__xludf.DUMMYFUNCTION("TRIM(REGEXREPLACE(A89, ""\s+"", "" ""))"),"O objeto da presente licitação é o Registro de Preços para eventual Aquisição de medidores de vazão do tipo ultrassônico e eletromagnético, conversores de vazão e demais componentes hidráulicos necessários à sua instalação operação, sob a forma de entrega"&amp;" parcelada, quantidades e exigências estabelecidas neste Edital e seus anexos.")</f>
        <v>O objeto da presente licitação é o Registro de Preços para eventual Aquisição de medidores de vazão do tipo ultrassônico e eletromagnético, conversores de vazão e demais componentes hidráulicos necessários à sua instalação operação, sob a forma de entrega parcelada, quantidades e exigências estabelecidas neste Edital e seus anexos.</v>
      </c>
      <c r="C89" s="2">
        <v>1.0</v>
      </c>
    </row>
    <row r="90">
      <c r="A90" s="6" t="s">
        <v>89</v>
      </c>
      <c r="B90" s="5" t="str">
        <f>IFERROR(__xludf.DUMMYFUNCTION("TRIM(REGEXREPLACE(A90, ""\s+"", "" ""))"),"REGISTRO DE PREÇOS PARA AQUISIÇÃO DE TRANSMISSOR DE PRESSÃO MANOMÉTRICA COM DIÂMETROS DIVERSOS")</f>
        <v>REGISTRO DE PREÇOS PARA AQUISIÇÃO DE TRANSMISSOR DE PRESSÃO MANOMÉTRICA COM DIÂMETROS DIVERSOS</v>
      </c>
      <c r="C90" s="2">
        <v>1.0</v>
      </c>
    </row>
    <row r="91">
      <c r="A91" s="6" t="s">
        <v>90</v>
      </c>
      <c r="B91" s="5" t="str">
        <f>IFERROR(__xludf.DUMMYFUNCTION("TRIM(REGEXREPLACE(A91, ""\s+"", "" ""))"),"Aquisição de Transmissores Ultrassônicos e Tipo Hidrostáticos para medição de nível e vazão; Controlador Conta-Giro; Central Eletrônica de Monitoramento (CEM); Registrador de Dados; Megômetro 5KV; Micro-Ohmimetro Digital até 10A; Painel Operador Inteligen"&amp;"te; Optistick Smart Interface, destinados as Estações de Tratamento de Esgoto (ETE’s), Estação de Tratamento de Água (ETA) e Subestações Elétricas desta CODAU, conforme condições técnicas exigidas no Termo de Referência (anexo II), em atendimento à solici"&amp;"tação da Gerência de Esgotamento Sanitário e Diretoria de Desenvolvimento e Saneamento.")</f>
        <v>Aquisição de Transmissores Ultrassônicos e Tipo Hidrostáticos para medição de nível e vazão; Controlador Conta-Giro; Central Eletrônica de Monitoramento (CEM); Registrador de Dados; Megômetro 5KV; Micro-Ohmimetro Digital até 10A; Painel Operador Inteligente; Optistick Smart Interface, destinados as Estações de Tratamento de Esgoto (ETE’s), Estação de Tratamento de Água (ETA) e Subestações Elétricas desta CODAU, conforme condições técnicas exigidas no Termo de Referência (anexo II), em atendimento à solicitação da Gerência de Esgotamento Sanitário e Diretoria de Desenvolvimento e Saneamento.</v>
      </c>
      <c r="C91" s="2">
        <v>1.0</v>
      </c>
    </row>
    <row r="92">
      <c r="A92" s="6" t="s">
        <v>91</v>
      </c>
      <c r="B92" s="5" t="str">
        <f>IFERROR(__xludf.DUMMYFUNCTION("TRIM(REGEXREPLACE(A92, ""\s+"", "" ""))"),"AQUISIÇÃO DE CONVERSORES PARA MEDIDORES DE VAZÃO ELETROMAGNÉTICO")</f>
        <v>AQUISIÇÃO DE CONVERSORES PARA MEDIDORES DE VAZÃO ELETROMAGNÉTICO</v>
      </c>
      <c r="C92" s="2">
        <v>1.0</v>
      </c>
    </row>
    <row r="93">
      <c r="A93" s="6" t="s">
        <v>92</v>
      </c>
      <c r="B93" s="5" t="str">
        <f>IFERROR(__xludf.DUMMYFUNCTION("TRIM(REGEXREPLACE(A93, ""\s+"", "" ""))"),"REGISTRO DE PREÇOS PARA FUTURA E EVENTUAL AQUISIÇÃO DE MEDIDORES DE VAZÃO PARA ÁGUA TRATADA, ESGOTO SANITÁRIO E PRODUTOS QUÍMICOS")</f>
        <v>REGISTRO DE PREÇOS PARA FUTURA E EVENTUAL AQUISIÇÃO DE MEDIDORES DE VAZÃO PARA ÁGUA TRATADA, ESGOTO SANITÁRIO E PRODUTOS QUÍMICOS</v>
      </c>
      <c r="C93" s="2">
        <v>1.0</v>
      </c>
    </row>
    <row r="94">
      <c r="A94" s="6" t="s">
        <v>93</v>
      </c>
      <c r="B94" s="5" t="str">
        <f>IFERROR(__xludf.DUMMYFUNCTION("TRIM(REGEXREPLACE(A94, ""\s+"", "" ""))"),"Aquisição de Ferramentas e Equipamentos para atender as necessidades do SAAE - Serviço autônomo de Água e Esgoto de Mariana")</f>
        <v>Aquisição de Ferramentas e Equipamentos para atender as necessidades do SAAE - Serviço autônomo de Água e Esgoto de Mariana</v>
      </c>
      <c r="C94" s="2">
        <v>1.0</v>
      </c>
    </row>
    <row r="95">
      <c r="A95" s="6" t="s">
        <v>94</v>
      </c>
      <c r="B95" s="5" t="str">
        <f>IFERROR(__xludf.DUMMYFUNCTION("TRIM(REGEXREPLACE(A95, ""\s+"", "" ""))"),"O objeto da licitação é o Registro de Preço para futuras e eventuais aquisições de MACROMEDIDORES, nas condições estabelecidas neste edital e seus anexos.")</f>
        <v>O objeto da licitação é o Registro de Preço para futuras e eventuais aquisições de MACROMEDIDORES, nas condições estabelecidas neste edital e seus anexos.</v>
      </c>
      <c r="C95" s="2">
        <v>1.0</v>
      </c>
    </row>
    <row r="96">
      <c r="A96" s="6" t="s">
        <v>95</v>
      </c>
      <c r="B96" s="5" t="str">
        <f>IFERROR(__xludf.DUMMYFUNCTION("TRIM(REGEXREPLACE(A96, ""\s+"", "" ""))"),"Contratação de empresa especializada para prestação de Serviços de Calibração de Medidores Vazão, incluindo a emissão de Certificados Rastreáveis RBC, para os macromedidores de vazão instalados nas Estações de Tratamento de Esgoto e nas Estações Elevatóri"&amp;"as de Esgoto da Sanebavi.")</f>
        <v>Contratação de empresa especializada para prestação de Serviços de Calibração de Medidores Vazão, incluindo a emissão de Certificados Rastreáveis RBC, para os macromedidores de vazão instalados nas Estações de Tratamento de Esgoto e nas Estações Elevatórias de Esgoto da Sanebavi.</v>
      </c>
      <c r="C96" s="2">
        <v>1.0</v>
      </c>
    </row>
    <row r="97">
      <c r="A97" s="6" t="s">
        <v>96</v>
      </c>
      <c r="B97" s="5" t="str">
        <f>IFERROR(__xludf.DUMMYFUNCTION("TRIM(REGEXREPLACE(A97, ""\s+"", "" ""))"),"Aquisição de Conversor Universal para Medidores de vazão Eletromagnéticos para a CESAMA")</f>
        <v>Aquisição de Conversor Universal para Medidores de vazão Eletromagnéticos para a CESAMA</v>
      </c>
      <c r="C97" s="2">
        <v>1.0</v>
      </c>
    </row>
    <row r="98">
      <c r="A98" s="6" t="s">
        <v>97</v>
      </c>
      <c r="B98" s="5" t="str">
        <f>IFERROR(__xludf.DUMMYFUNCTION("TRIM(REGEXREPLACE(A98, ""\s+"", "" ""))"),"O objeto da presente licitação é o REGISTRO DE PREÇOS DE INSTRUMENTOS DE MEDIÇÃO DE PRESSÃO, NÍVEL E VAZÃO PARA UNIDADES AUTOMATIZADAS DA SAEC COM RESERVA DE COTA PARA MICROEMPRESA-ME, EMPRESA DE PEQUENO PORTE-EPP, INCLUSIVE MICROEMPREENDEDOR INDIVIDUAL, "&amp;"conforme condições, quantidades e exigências estabelecidas no Termo de Referência, Anexo IV deste edital.")</f>
        <v>O objeto da presente licitação é o REGISTRO DE PREÇOS DE INSTRUMENTOS DE MEDIÇÃO DE PRESSÃO, NÍVEL E VAZÃO PARA UNIDADES AUTOMATIZADAS DA SAEC COM RESERVA DE COTA PARA MICROEMPRESA-ME, EMPRESA DE PEQUENO PORTE-EPP, INCLUSIVE MICROEMPREENDEDOR INDIVIDUAL, conforme condições, quantidades e exigências estabelecidas no Termo de Referência, Anexo IV deste edital.</v>
      </c>
      <c r="C98" s="2">
        <v>1.0</v>
      </c>
    </row>
    <row r="99">
      <c r="A99" s="6" t="s">
        <v>98</v>
      </c>
      <c r="B99" s="5" t="str">
        <f>IFERROR(__xludf.DUMMYFUNCTION("TRIM(REGEXREPLACE(A99, ""\s+"", "" ""))"),"Aquisição de medidores diafragma para rede de distribuição de gás natural da SERGAS, conforme especificações técnicas detalhadas constantes deste edital e seus anexos.")</f>
        <v>Aquisição de medidores diafragma para rede de distribuição de gás natural da SERGAS, conforme especificações técnicas detalhadas constantes deste edital e seus anexos.</v>
      </c>
      <c r="C99" s="2">
        <v>1.0</v>
      </c>
    </row>
    <row r="100">
      <c r="A100" s="6" t="s">
        <v>99</v>
      </c>
      <c r="B100" s="5" t="str">
        <f>IFERROR(__xludf.DUMMYFUNCTION("TRIM(REGEXREPLACE(A100, ""\s+"", "" ""))"),"O objeto da licitação é o Registro de Preço para futuras e eventuais Aquisições de TRANSMISSORES DE PRESSÃO DIFERENCIAL, nas condições estabelecidas neste edital e seus anexos.")</f>
        <v>O objeto da licitação é o Registro de Preço para futuras e eventuais Aquisições de TRANSMISSORES DE PRESSÃO DIFERENCIAL, nas condições estabelecidas neste edital e seus anexos.</v>
      </c>
      <c r="C100" s="2">
        <v>1.0</v>
      </c>
    </row>
    <row r="101">
      <c r="A101" s="6" t="s">
        <v>100</v>
      </c>
      <c r="B101" s="5" t="str">
        <f>IFERROR(__xludf.DUMMYFUNCTION("TRIM(REGEXREPLACE(A101, ""\s+"", "" ""))"),"AQUISIÇÃO DE TRANSMISSORES DE PRESSÃO DIFERENCIAL E TOTALIZADORES, NO SISTEMA DE REGISTRO DE PREÇO.")</f>
        <v>AQUISIÇÃO DE TRANSMISSORES DE PRESSÃO DIFERENCIAL E TOTALIZADORES, NO SISTEMA DE REGISTRO DE PREÇO.</v>
      </c>
      <c r="C101" s="2">
        <v>1.0</v>
      </c>
    </row>
    <row r="102">
      <c r="A102" s="6" t="s">
        <v>101</v>
      </c>
      <c r="B102" s="5" t="str">
        <f>IFERROR(__xludf.DUMMYFUNCTION("TRIM(REGEXREPLACE(A102, ""\s+"", "" ""))"),"REGISTRO DE PREÇOS PARA FUTURA E EVENTUAL AQUISIÇÃO DE MEDIDORES DE VAZÃO PARA ÁGUA TRATADA, ESGOTO SANITÁRIO E PRODUTOS QUÍMICOS")</f>
        <v>REGISTRO DE PREÇOS PARA FUTURA E EVENTUAL AQUISIÇÃO DE MEDIDORES DE VAZÃO PARA ÁGUA TRATADA, ESGOTO SANITÁRIO E PRODUTOS QUÍMICOS</v>
      </c>
      <c r="C102" s="2">
        <v>1.0</v>
      </c>
    </row>
    <row r="103">
      <c r="A103" s="6" t="s">
        <v>102</v>
      </c>
      <c r="B103" s="5" t="str">
        <f>IFERROR(__xludf.DUMMYFUNCTION("TRIM(REGEXREPLACE(A103, ""\s+"", "" ""))"),"Registro de Preços para aquisições futuras de Sensores de Níveis dos tipos pressão absoluta e radares eletromagnéticos, para atender as necessidades da Companhia de Pesquisa de Recursos Minerais - CPRM, conforme as especificações constantes no Termo de Re"&amp;"ferência – Anexo I, deste Edital")</f>
        <v>Registro de Preços para aquisições futuras de Sensores de Níveis dos tipos pressão absoluta e radares eletromagnéticos, para atender as necessidades da Companhia de Pesquisa de Recursos Minerais - CPRM, conforme as especificações constantes no Termo de Referência – Anexo I, deste Edital</v>
      </c>
      <c r="C103" s="2">
        <v>1.0</v>
      </c>
    </row>
    <row r="104">
      <c r="A104" s="6" t="s">
        <v>103</v>
      </c>
      <c r="B104" s="5" t="str">
        <f>IFERROR(__xludf.DUMMYFUNCTION("TRIM(REGEXREPLACE(A104, ""\s+"", "" ""))"),"CALIBRAÇÃO E TRANSPORTE DE MEDIDORES ULTRASSôNICO DA TBG.")</f>
        <v>CALIBRAÇÃO E TRANSPORTE DE MEDIDORES ULTRASSôNICO DA TBG.</v>
      </c>
      <c r="C104" s="2">
        <v>1.0</v>
      </c>
    </row>
    <row r="105">
      <c r="A105" s="6" t="s">
        <v>104</v>
      </c>
      <c r="B105" s="5" t="str">
        <f>IFERROR(__xludf.DUMMYFUNCTION("TRIM(REGEXREPLACE(A105, ""\s+"", "" ""))"),"Contratação de fornecimento, instalação e certificação de sistemas de medição de vazão e telemetria de projetos públicos de irrigação com captação em corpos hídricos da União, conforme a Resolução ANA nº 188/2024 – Automonitoramento, nos estados de Alagoa"&amp;"s e Sergipe.")</f>
        <v>Contratação de fornecimento, instalação e certificação de sistemas de medição de vazão e telemetria de projetos públicos de irrigação com captação em corpos hídricos da União, conforme a Resolução ANA nº 188/2024 – Automonitoramento, nos estados de Alagoas e Sergipe.</v>
      </c>
      <c r="C105" s="2">
        <v>1.0</v>
      </c>
    </row>
    <row r="106">
      <c r="A106" s="7"/>
      <c r="B106" s="5"/>
    </row>
    <row r="107">
      <c r="A107" s="7"/>
      <c r="B107" s="5"/>
    </row>
    <row r="108">
      <c r="A108" s="7"/>
      <c r="B108" s="5"/>
    </row>
    <row r="109">
      <c r="A109" s="7"/>
      <c r="B109" s="5"/>
    </row>
    <row r="110">
      <c r="A110" s="7"/>
      <c r="B110" s="5"/>
    </row>
    <row r="111">
      <c r="A111" s="7"/>
      <c r="B111" s="5"/>
    </row>
    <row r="112">
      <c r="A112" s="7"/>
      <c r="B112" s="5"/>
    </row>
    <row r="113">
      <c r="A113" s="7"/>
      <c r="B113" s="5"/>
    </row>
    <row r="114">
      <c r="A114" s="7"/>
      <c r="B114" s="5"/>
    </row>
    <row r="115">
      <c r="A115" s="7"/>
      <c r="B115" s="5"/>
    </row>
    <row r="116">
      <c r="A116" s="7"/>
      <c r="B116" s="5"/>
    </row>
    <row r="117">
      <c r="A117" s="7"/>
      <c r="B117" s="5"/>
    </row>
    <row r="118">
      <c r="A118" s="7"/>
      <c r="B118" s="5"/>
    </row>
    <row r="119">
      <c r="A119" s="7"/>
      <c r="B119" s="5"/>
    </row>
    <row r="120">
      <c r="A120" s="7"/>
      <c r="B120" s="5"/>
    </row>
    <row r="121">
      <c r="A121" s="7"/>
      <c r="B121" s="5"/>
    </row>
    <row r="122">
      <c r="A122" s="7"/>
      <c r="B122" s="5"/>
    </row>
    <row r="123">
      <c r="A123" s="7"/>
      <c r="B123" s="5"/>
    </row>
    <row r="124">
      <c r="A124" s="7"/>
      <c r="B124" s="5"/>
    </row>
    <row r="125">
      <c r="A125" s="7"/>
      <c r="B125" s="5"/>
    </row>
    <row r="126">
      <c r="A126" s="7"/>
      <c r="B126" s="5"/>
    </row>
    <row r="127">
      <c r="A127" s="7"/>
      <c r="B127" s="5"/>
    </row>
    <row r="128">
      <c r="A128" s="7"/>
      <c r="B128" s="5"/>
    </row>
    <row r="129">
      <c r="A129" s="7"/>
      <c r="B129" s="5"/>
    </row>
    <row r="130">
      <c r="A130" s="7"/>
      <c r="B130" s="5"/>
    </row>
    <row r="131">
      <c r="A131" s="7"/>
      <c r="B131" s="5"/>
    </row>
    <row r="132">
      <c r="A132" s="7"/>
      <c r="B132" s="5"/>
    </row>
    <row r="133">
      <c r="A133" s="7"/>
      <c r="B133" s="5"/>
    </row>
    <row r="134">
      <c r="A134" s="7"/>
      <c r="B134" s="5"/>
    </row>
    <row r="135">
      <c r="A135" s="7"/>
      <c r="B135" s="5"/>
    </row>
    <row r="136">
      <c r="A136" s="7"/>
      <c r="B136" s="5"/>
    </row>
    <row r="137">
      <c r="A137" s="7"/>
      <c r="B137" s="5"/>
    </row>
    <row r="138">
      <c r="A138" s="7"/>
      <c r="B138" s="5"/>
    </row>
    <row r="139">
      <c r="A139" s="7"/>
      <c r="B139" s="5"/>
    </row>
    <row r="140">
      <c r="A140" s="7"/>
      <c r="B140" s="5"/>
    </row>
    <row r="141">
      <c r="A141" s="7"/>
      <c r="B141" s="5"/>
    </row>
    <row r="142">
      <c r="A142" s="7"/>
      <c r="B142" s="5"/>
    </row>
    <row r="143">
      <c r="A143" s="7"/>
      <c r="B143" s="5"/>
    </row>
    <row r="144">
      <c r="A144" s="7"/>
      <c r="B144" s="5"/>
    </row>
    <row r="145">
      <c r="A145" s="7"/>
      <c r="B145" s="5"/>
    </row>
    <row r="146">
      <c r="A146" s="7"/>
      <c r="B146" s="5"/>
    </row>
    <row r="147">
      <c r="A147" s="7"/>
      <c r="B147" s="5"/>
    </row>
    <row r="148">
      <c r="A148" s="7"/>
      <c r="B148" s="5"/>
    </row>
    <row r="149">
      <c r="A149" s="7"/>
      <c r="B149" s="5"/>
    </row>
    <row r="150">
      <c r="A150" s="7"/>
      <c r="B150" s="5"/>
    </row>
    <row r="151">
      <c r="A151" s="7"/>
      <c r="B151" s="5"/>
    </row>
    <row r="152">
      <c r="A152" s="7"/>
      <c r="B152" s="5"/>
    </row>
    <row r="153">
      <c r="A153" s="7"/>
      <c r="B153" s="5"/>
    </row>
    <row r="154">
      <c r="A154" s="7"/>
      <c r="B154" s="5"/>
    </row>
    <row r="155">
      <c r="A155" s="7"/>
      <c r="B155" s="5"/>
    </row>
    <row r="156">
      <c r="A156" s="7"/>
      <c r="B156" s="5"/>
    </row>
    <row r="157">
      <c r="A157" s="7"/>
      <c r="B157" s="5"/>
    </row>
    <row r="158">
      <c r="A158" s="7"/>
      <c r="B158" s="5"/>
    </row>
    <row r="159">
      <c r="A159" s="7"/>
      <c r="B159" s="5"/>
    </row>
    <row r="160">
      <c r="A160" s="7"/>
      <c r="B160" s="5"/>
    </row>
    <row r="161">
      <c r="A161" s="7"/>
      <c r="B161" s="5"/>
    </row>
    <row r="162">
      <c r="A162" s="7"/>
      <c r="B162" s="5"/>
    </row>
    <row r="163">
      <c r="A163" s="7"/>
      <c r="B163" s="5"/>
    </row>
    <row r="164">
      <c r="A164" s="7"/>
      <c r="B164" s="5"/>
    </row>
    <row r="165">
      <c r="A165" s="7"/>
      <c r="B165" s="5"/>
    </row>
    <row r="166">
      <c r="A166" s="7"/>
      <c r="B166" s="5"/>
    </row>
    <row r="167">
      <c r="A167" s="7"/>
      <c r="B167" s="5"/>
    </row>
    <row r="168">
      <c r="A168" s="7"/>
      <c r="B168" s="5"/>
    </row>
    <row r="169">
      <c r="A169" s="7"/>
      <c r="B169" s="5"/>
    </row>
    <row r="170">
      <c r="A170" s="7"/>
      <c r="B170" s="5"/>
    </row>
    <row r="171">
      <c r="A171" s="7"/>
      <c r="B171" s="5"/>
    </row>
    <row r="172">
      <c r="A172" s="7"/>
      <c r="B172" s="5"/>
    </row>
    <row r="173">
      <c r="A173" s="7"/>
      <c r="B173" s="5"/>
    </row>
    <row r="174">
      <c r="A174" s="7"/>
      <c r="B174" s="5"/>
    </row>
    <row r="175">
      <c r="A175" s="7"/>
      <c r="B175" s="5"/>
    </row>
    <row r="176">
      <c r="A176" s="7"/>
      <c r="B176" s="5"/>
    </row>
    <row r="177">
      <c r="A177" s="7"/>
      <c r="B177" s="5"/>
    </row>
    <row r="178">
      <c r="A178" s="7"/>
      <c r="B178" s="5"/>
    </row>
    <row r="179">
      <c r="A179" s="7"/>
      <c r="B179" s="5"/>
    </row>
    <row r="180">
      <c r="A180" s="7"/>
      <c r="B180" s="5"/>
    </row>
    <row r="181">
      <c r="A181" s="7"/>
      <c r="B181" s="5"/>
    </row>
    <row r="182">
      <c r="A182" s="7"/>
      <c r="B182" s="5"/>
    </row>
    <row r="183">
      <c r="A183" s="7"/>
      <c r="B183" s="5"/>
    </row>
    <row r="184">
      <c r="A184" s="7"/>
      <c r="B184" s="5"/>
    </row>
    <row r="185">
      <c r="A185" s="7"/>
      <c r="B185" s="5"/>
    </row>
    <row r="186">
      <c r="A186" s="7"/>
      <c r="B186" s="5"/>
    </row>
    <row r="187">
      <c r="A187" s="7"/>
      <c r="B187" s="5"/>
    </row>
    <row r="188">
      <c r="A188" s="7"/>
      <c r="B188" s="5"/>
    </row>
    <row r="189">
      <c r="A189" s="7"/>
      <c r="B189" s="5"/>
    </row>
  </sheetData>
  <drawing r:id="rId1"/>
</worksheet>
</file>